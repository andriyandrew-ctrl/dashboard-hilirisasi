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kumen KW\AKT MANAJEMEN\AKUNTANSI 2025\03. Pelaporan Manajemen Th 2025\Hilirisasi Report 2025\"/>
    </mc:Choice>
  </mc:AlternateContent>
  <xr:revisionPtr revIDLastSave="0" documentId="8_{D7B42821-779A-4344-BEDE-7C75E7525F70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Steel Based Product" sheetId="4" r:id="rId1"/>
    <sheet name="Realisasi Hilirisasi" sheetId="6" r:id="rId2"/>
    <sheet name="Resume" sheetId="13" r:id="rId3"/>
    <sheet name="Per AP" sheetId="7" r:id="rId4"/>
    <sheet name="Target Hilirisasi 2025" sheetId="12" r:id="rId5"/>
    <sheet name="Perbandingan" sheetId="14" state="hidden" r:id="rId6"/>
    <sheet name="Per AP#2" sheetId="8" state="hidden" r:id="rId7"/>
  </sheets>
  <definedNames>
    <definedName name="_xlnm._FilterDatabase" localSheetId="1" hidden="1">'Realisasi Hilirisasi'!$B$7:$I$135</definedName>
    <definedName name="_xlnm.Print_Area" localSheetId="5">Perbandingan!$B$3:$K$31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8" i="4" l="1"/>
  <c r="Q57" i="4"/>
  <c r="Q56" i="4"/>
  <c r="Q55" i="4"/>
  <c r="P12" i="7"/>
  <c r="P11" i="7"/>
  <c r="AF30" i="6"/>
  <c r="AF29" i="6"/>
  <c r="J183" i="6"/>
  <c r="H179" i="6"/>
  <c r="J176" i="6"/>
  <c r="J172" i="6"/>
  <c r="J185" i="6"/>
  <c r="I185" i="6"/>
  <c r="H185" i="6"/>
  <c r="J184" i="6"/>
  <c r="H184" i="6"/>
  <c r="I183" i="6"/>
  <c r="H183" i="6"/>
  <c r="J182" i="6"/>
  <c r="I182" i="6"/>
  <c r="H182" i="6"/>
  <c r="J181" i="6"/>
  <c r="I181" i="6"/>
  <c r="H181" i="6"/>
  <c r="J178" i="6"/>
  <c r="I178" i="6"/>
  <c r="H178" i="6"/>
  <c r="J177" i="6"/>
  <c r="I177" i="6"/>
  <c r="H177" i="6"/>
  <c r="J175" i="6"/>
  <c r="I175" i="6"/>
  <c r="H175" i="6"/>
  <c r="J173" i="6"/>
  <c r="I173" i="6"/>
  <c r="H173" i="6"/>
  <c r="J171" i="6"/>
  <c r="I171" i="6"/>
  <c r="H171" i="6"/>
  <c r="H176" i="6" l="1"/>
  <c r="I180" i="6"/>
  <c r="H180" i="6"/>
  <c r="J179" i="6"/>
  <c r="I174" i="6"/>
  <c r="H174" i="6"/>
  <c r="J174" i="6"/>
  <c r="H172" i="6"/>
  <c r="I172" i="6"/>
  <c r="I176" i="6"/>
  <c r="I184" i="6"/>
  <c r="J180" i="6"/>
  <c r="I179" i="6"/>
  <c r="J170" i="6" l="1"/>
  <c r="I170" i="6"/>
  <c r="H170" i="6"/>
  <c r="J169" i="6"/>
  <c r="H169" i="6"/>
  <c r="J168" i="6"/>
  <c r="H168" i="6"/>
  <c r="J167" i="6"/>
  <c r="I167" i="6"/>
  <c r="H167" i="6"/>
  <c r="J166" i="6"/>
  <c r="I166" i="6"/>
  <c r="H166" i="6"/>
  <c r="J165" i="6"/>
  <c r="H165" i="6"/>
  <c r="J164" i="6"/>
  <c r="J163" i="6"/>
  <c r="I163" i="6"/>
  <c r="H163" i="6"/>
  <c r="J162" i="6"/>
  <c r="I162" i="6"/>
  <c r="H162" i="6"/>
  <c r="J160" i="6"/>
  <c r="I160" i="6"/>
  <c r="H160" i="6"/>
  <c r="J159" i="6"/>
  <c r="H159" i="6"/>
  <c r="J158" i="6"/>
  <c r="I158" i="6"/>
  <c r="H158" i="6"/>
  <c r="J157" i="6"/>
  <c r="H157" i="6"/>
  <c r="J156" i="6"/>
  <c r="I156" i="6"/>
  <c r="H156" i="6"/>
  <c r="J149" i="6"/>
  <c r="H146" i="6"/>
  <c r="J155" i="6"/>
  <c r="I155" i="6"/>
  <c r="H155" i="6"/>
  <c r="J152" i="6"/>
  <c r="I152" i="6"/>
  <c r="H152" i="6"/>
  <c r="J151" i="6"/>
  <c r="I151" i="6"/>
  <c r="H151" i="6"/>
  <c r="I149" i="6"/>
  <c r="J148" i="6"/>
  <c r="I148" i="6"/>
  <c r="H148" i="6"/>
  <c r="J147" i="6"/>
  <c r="I147" i="6"/>
  <c r="H147" i="6"/>
  <c r="J145" i="6"/>
  <c r="I145" i="6"/>
  <c r="H145" i="6"/>
  <c r="J143" i="6"/>
  <c r="I143" i="6"/>
  <c r="H143" i="6"/>
  <c r="J141" i="6"/>
  <c r="I141" i="6"/>
  <c r="H141" i="6"/>
  <c r="J146" i="6" l="1"/>
  <c r="I153" i="6"/>
  <c r="J150" i="6"/>
  <c r="H164" i="6"/>
  <c r="H150" i="6"/>
  <c r="J142" i="6"/>
  <c r="H149" i="6"/>
  <c r="J144" i="6"/>
  <c r="H161" i="6"/>
  <c r="J161" i="6"/>
  <c r="I164" i="6"/>
  <c r="I157" i="6"/>
  <c r="I168" i="6"/>
  <c r="I161" i="6"/>
  <c r="I165" i="6"/>
  <c r="I169" i="6"/>
  <c r="I159" i="6"/>
  <c r="I154" i="6"/>
  <c r="H154" i="6"/>
  <c r="H153" i="6"/>
  <c r="I144" i="6"/>
  <c r="H144" i="6"/>
  <c r="H142" i="6"/>
  <c r="J154" i="6"/>
  <c r="J153" i="6"/>
  <c r="I146" i="6"/>
  <c r="I142" i="6"/>
  <c r="I150" i="6"/>
  <c r="J139" i="6"/>
  <c r="J131" i="6"/>
  <c r="J140" i="6"/>
  <c r="I140" i="6"/>
  <c r="H140" i="6"/>
  <c r="J137" i="6"/>
  <c r="I137" i="6"/>
  <c r="H137" i="6"/>
  <c r="J136" i="6"/>
  <c r="I136" i="6"/>
  <c r="H136" i="6"/>
  <c r="H134" i="6"/>
  <c r="J134" i="6"/>
  <c r="J133" i="6"/>
  <c r="H133" i="6"/>
  <c r="J132" i="6"/>
  <c r="I132" i="6"/>
  <c r="H132" i="6"/>
  <c r="J130" i="6"/>
  <c r="I130" i="6"/>
  <c r="H130" i="6"/>
  <c r="J128" i="6"/>
  <c r="I128" i="6"/>
  <c r="H128" i="6"/>
  <c r="J126" i="6"/>
  <c r="I126" i="6"/>
  <c r="H126" i="6"/>
  <c r="H138" i="6" l="1"/>
  <c r="J135" i="6"/>
  <c r="H139" i="6"/>
  <c r="H135" i="6"/>
  <c r="J138" i="6"/>
  <c r="H131" i="6"/>
  <c r="I129" i="6"/>
  <c r="J129" i="6"/>
  <c r="H129" i="6"/>
  <c r="I133" i="6"/>
  <c r="H127" i="6"/>
  <c r="I127" i="6"/>
  <c r="I134" i="6"/>
  <c r="J127" i="6"/>
  <c r="I138" i="6"/>
  <c r="I131" i="6"/>
  <c r="I135" i="6"/>
  <c r="I139" i="6"/>
  <c r="J125" i="6" l="1"/>
  <c r="I125" i="6"/>
  <c r="H125" i="6"/>
  <c r="J124" i="6"/>
  <c r="H124" i="6"/>
  <c r="J123" i="6"/>
  <c r="I123" i="6"/>
  <c r="H123" i="6"/>
  <c r="J122" i="6"/>
  <c r="I122" i="6"/>
  <c r="H122" i="6"/>
  <c r="J121" i="6"/>
  <c r="I121" i="6"/>
  <c r="H121" i="6"/>
  <c r="J120" i="6"/>
  <c r="H120" i="6"/>
  <c r="J119" i="6"/>
  <c r="I119" i="6"/>
  <c r="H119" i="6"/>
  <c r="J118" i="6"/>
  <c r="I118" i="6"/>
  <c r="H118" i="6"/>
  <c r="J117" i="6"/>
  <c r="I117" i="6"/>
  <c r="H117" i="6"/>
  <c r="J116" i="6"/>
  <c r="H116" i="6"/>
  <c r="I116" i="6"/>
  <c r="J115" i="6"/>
  <c r="I115" i="6"/>
  <c r="H115" i="6"/>
  <c r="J114" i="6"/>
  <c r="H114" i="6"/>
  <c r="J113" i="6"/>
  <c r="I113" i="6"/>
  <c r="H113" i="6"/>
  <c r="J112" i="6"/>
  <c r="H112" i="6"/>
  <c r="J111" i="6"/>
  <c r="I111" i="6"/>
  <c r="H111" i="6"/>
  <c r="I114" i="6" l="1"/>
  <c r="I124" i="6"/>
  <c r="I112" i="6"/>
  <c r="I120" i="6"/>
  <c r="J110" i="6"/>
  <c r="I110" i="6"/>
  <c r="H110" i="6"/>
  <c r="J109" i="6"/>
  <c r="I109" i="6"/>
  <c r="H109" i="6"/>
  <c r="J108" i="6"/>
  <c r="I108" i="6"/>
  <c r="H108" i="6"/>
  <c r="J107" i="6"/>
  <c r="I107" i="6"/>
  <c r="H107" i="6"/>
  <c r="J106" i="6"/>
  <c r="I106" i="6"/>
  <c r="H106" i="6"/>
  <c r="J105" i="6"/>
  <c r="I105" i="6"/>
  <c r="H105" i="6"/>
  <c r="J104" i="6"/>
  <c r="H104" i="6"/>
  <c r="J103" i="6"/>
  <c r="I103" i="6"/>
  <c r="H103" i="6"/>
  <c r="J102" i="6"/>
  <c r="I102" i="6"/>
  <c r="H102" i="6"/>
  <c r="J100" i="6"/>
  <c r="I100" i="6"/>
  <c r="H100" i="6"/>
  <c r="H99" i="6"/>
  <c r="J98" i="6"/>
  <c r="I98" i="6"/>
  <c r="H98" i="6"/>
  <c r="J97" i="6"/>
  <c r="H97" i="6"/>
  <c r="J96" i="6"/>
  <c r="I96" i="6"/>
  <c r="H96" i="6"/>
  <c r="J95" i="6"/>
  <c r="I95" i="6"/>
  <c r="H95" i="6"/>
  <c r="J94" i="6"/>
  <c r="I94" i="6"/>
  <c r="H94" i="6"/>
  <c r="J93" i="6"/>
  <c r="I93" i="6"/>
  <c r="H93" i="6"/>
  <c r="J92" i="6"/>
  <c r="I92" i="6"/>
  <c r="H92" i="6"/>
  <c r="J91" i="6"/>
  <c r="I91" i="6"/>
  <c r="H91" i="6"/>
  <c r="J90" i="6"/>
  <c r="I90" i="6"/>
  <c r="H90" i="6"/>
  <c r="I89" i="6"/>
  <c r="J88" i="6"/>
  <c r="I88" i="6"/>
  <c r="H88" i="6"/>
  <c r="J87" i="6"/>
  <c r="I87" i="6"/>
  <c r="H87" i="6"/>
  <c r="J85" i="6"/>
  <c r="I85" i="6"/>
  <c r="H85" i="6"/>
  <c r="J83" i="6"/>
  <c r="I83" i="6"/>
  <c r="H83" i="6"/>
  <c r="J81" i="6"/>
  <c r="I81" i="6"/>
  <c r="H81" i="6"/>
  <c r="P19" i="7"/>
  <c r="P26" i="7" s="1"/>
  <c r="P33" i="7" s="1"/>
  <c r="P18" i="7"/>
  <c r="P25" i="7" s="1"/>
  <c r="P32" i="7" s="1"/>
  <c r="J69" i="6"/>
  <c r="J74" i="6"/>
  <c r="I60" i="6"/>
  <c r="J60" i="6"/>
  <c r="J80" i="6"/>
  <c r="I80" i="6"/>
  <c r="H80" i="6"/>
  <c r="J79" i="6"/>
  <c r="H79" i="6"/>
  <c r="J78" i="6"/>
  <c r="I78" i="6"/>
  <c r="H78" i="6"/>
  <c r="J77" i="6"/>
  <c r="I77" i="6"/>
  <c r="H77" i="6"/>
  <c r="J76" i="6"/>
  <c r="I76" i="6"/>
  <c r="H76" i="6"/>
  <c r="J73" i="6"/>
  <c r="I73" i="6"/>
  <c r="H73" i="6"/>
  <c r="J72" i="6"/>
  <c r="I72" i="6"/>
  <c r="H72" i="6"/>
  <c r="J70" i="6"/>
  <c r="I70" i="6"/>
  <c r="H70" i="6"/>
  <c r="J68" i="6"/>
  <c r="I68" i="6"/>
  <c r="H68" i="6"/>
  <c r="J65" i="6"/>
  <c r="I65" i="6"/>
  <c r="H65" i="6"/>
  <c r="J63" i="6"/>
  <c r="H63" i="6"/>
  <c r="J62" i="6"/>
  <c r="I62" i="6"/>
  <c r="H62" i="6"/>
  <c r="J61" i="6"/>
  <c r="I61" i="6"/>
  <c r="H61" i="6"/>
  <c r="J59" i="6"/>
  <c r="H59" i="6"/>
  <c r="J58" i="6"/>
  <c r="H58" i="6"/>
  <c r="I58" i="6"/>
  <c r="J57" i="6"/>
  <c r="I57" i="6"/>
  <c r="H57" i="6"/>
  <c r="J55" i="6"/>
  <c r="I55" i="6"/>
  <c r="H55" i="6"/>
  <c r="J53" i="6"/>
  <c r="I53" i="6"/>
  <c r="H53" i="6"/>
  <c r="J51" i="6"/>
  <c r="I51" i="6"/>
  <c r="H51" i="6"/>
  <c r="AG33" i="6"/>
  <c r="AG32" i="6"/>
  <c r="J50" i="6"/>
  <c r="J48" i="6"/>
  <c r="J47" i="6"/>
  <c r="J46" i="6"/>
  <c r="J44" i="6"/>
  <c r="J43" i="6"/>
  <c r="J41" i="6"/>
  <c r="J39" i="6"/>
  <c r="J36" i="6"/>
  <c r="J33" i="6"/>
  <c r="J32" i="6"/>
  <c r="J28" i="6"/>
  <c r="J26" i="6"/>
  <c r="J22" i="6"/>
  <c r="J21" i="6"/>
  <c r="J18" i="6"/>
  <c r="J17" i="6"/>
  <c r="J15" i="6"/>
  <c r="J14" i="6"/>
  <c r="J12" i="6"/>
  <c r="I59" i="6"/>
  <c r="I63" i="6"/>
  <c r="I79" i="6"/>
  <c r="O19" i="12"/>
  <c r="O24" i="12" s="1"/>
  <c r="N14" i="12"/>
  <c r="O3" i="4" s="1"/>
  <c r="M5" i="8" s="1"/>
  <c r="M9" i="8" s="1"/>
  <c r="M19" i="12"/>
  <c r="M24" i="12" s="1"/>
  <c r="L14" i="12"/>
  <c r="M3" i="4" s="1"/>
  <c r="K5" i="8" s="1"/>
  <c r="K9" i="8" s="1"/>
  <c r="K19" i="12"/>
  <c r="K24" i="12" s="1"/>
  <c r="J19" i="12"/>
  <c r="J24" i="12" s="1"/>
  <c r="I14" i="12"/>
  <c r="J3" i="4" s="1"/>
  <c r="H5" i="8" s="1"/>
  <c r="H14" i="12"/>
  <c r="I3" i="4" s="1"/>
  <c r="G5" i="8" s="1"/>
  <c r="F19" i="12"/>
  <c r="F24" i="12" s="1"/>
  <c r="J12" i="14"/>
  <c r="J9" i="6"/>
  <c r="E8" i="13"/>
  <c r="I11" i="6"/>
  <c r="K13" i="14"/>
  <c r="I38" i="6"/>
  <c r="I49" i="6"/>
  <c r="I34" i="6"/>
  <c r="I31" i="6"/>
  <c r="I19" i="6"/>
  <c r="J13" i="6"/>
  <c r="I30" i="6"/>
  <c r="J30" i="6"/>
  <c r="B30" i="6"/>
  <c r="S16" i="6" s="1"/>
  <c r="K16" i="14"/>
  <c r="J29" i="6"/>
  <c r="J42" i="6"/>
  <c r="U70" i="4"/>
  <c r="K30" i="14"/>
  <c r="J30" i="14"/>
  <c r="E29" i="14"/>
  <c r="E28" i="14"/>
  <c r="E27" i="14"/>
  <c r="E26" i="14"/>
  <c r="E30" i="14"/>
  <c r="AF22" i="6"/>
  <c r="AF21" i="6"/>
  <c r="AF20" i="6"/>
  <c r="AF19" i="6"/>
  <c r="AF18" i="6"/>
  <c r="AF17" i="6"/>
  <c r="AF15" i="6"/>
  <c r="AF14" i="6"/>
  <c r="AF13" i="6"/>
  <c r="AF12" i="6"/>
  <c r="AF11" i="6"/>
  <c r="AF10" i="6"/>
  <c r="AF9" i="6"/>
  <c r="AF8" i="6"/>
  <c r="G24" i="14"/>
  <c r="F24" i="14"/>
  <c r="E24" i="14"/>
  <c r="K22" i="14"/>
  <c r="J22" i="14"/>
  <c r="I22" i="14"/>
  <c r="I29" i="14" s="1"/>
  <c r="K20" i="14"/>
  <c r="J20" i="14"/>
  <c r="I20" i="14"/>
  <c r="K17" i="14"/>
  <c r="J17" i="14"/>
  <c r="I17" i="14"/>
  <c r="I16" i="14"/>
  <c r="K15" i="14"/>
  <c r="J15" i="14"/>
  <c r="I15" i="14"/>
  <c r="K10" i="14"/>
  <c r="J10" i="14"/>
  <c r="I10" i="14"/>
  <c r="N127" i="6"/>
  <c r="I50" i="6"/>
  <c r="I48" i="6"/>
  <c r="I47" i="6"/>
  <c r="I46" i="6"/>
  <c r="I44" i="6"/>
  <c r="I43" i="6"/>
  <c r="I41" i="6"/>
  <c r="I39" i="6"/>
  <c r="I36" i="6"/>
  <c r="I33" i="6"/>
  <c r="I32" i="6"/>
  <c r="I28" i="6"/>
  <c r="I26" i="6"/>
  <c r="I22" i="6"/>
  <c r="I21" i="6"/>
  <c r="I18" i="6"/>
  <c r="I17" i="6"/>
  <c r="I15" i="6"/>
  <c r="I14" i="6"/>
  <c r="I12" i="6"/>
  <c r="P71" i="4"/>
  <c r="O71" i="4"/>
  <c r="N71" i="4"/>
  <c r="M71" i="4"/>
  <c r="L71" i="4"/>
  <c r="Q71" i="4"/>
  <c r="S47" i="4"/>
  <c r="H44" i="6"/>
  <c r="H43" i="6"/>
  <c r="H50" i="6"/>
  <c r="H48" i="6"/>
  <c r="H47" i="6"/>
  <c r="H46" i="6"/>
  <c r="H41" i="6"/>
  <c r="H39" i="6"/>
  <c r="C43" i="13"/>
  <c r="C44" i="13"/>
  <c r="C42" i="13"/>
  <c r="B36" i="6"/>
  <c r="L27" i="7" s="1"/>
  <c r="B35" i="6"/>
  <c r="B34" i="6"/>
  <c r="S20" i="6" s="1"/>
  <c r="B33" i="6"/>
  <c r="B32" i="6"/>
  <c r="S18" i="6" s="1"/>
  <c r="B31" i="6"/>
  <c r="B29" i="6"/>
  <c r="S15" i="6" s="1"/>
  <c r="B28" i="6"/>
  <c r="S14" i="6" s="1"/>
  <c r="B27" i="6"/>
  <c r="S13" i="6" s="1"/>
  <c r="B26" i="6"/>
  <c r="S12" i="6" s="1"/>
  <c r="B25" i="6"/>
  <c r="B24" i="6"/>
  <c r="B23" i="6"/>
  <c r="S9" i="6" s="1"/>
  <c r="H36" i="6"/>
  <c r="H33" i="6"/>
  <c r="H32" i="6"/>
  <c r="H28" i="6"/>
  <c r="H26" i="6"/>
  <c r="H22" i="6"/>
  <c r="C37" i="13"/>
  <c r="E37" i="13" s="1"/>
  <c r="E29" i="13"/>
  <c r="D29" i="13"/>
  <c r="C29" i="13"/>
  <c r="E20" i="13"/>
  <c r="D20" i="13"/>
  <c r="C20" i="13"/>
  <c r="E18" i="13"/>
  <c r="D18" i="13"/>
  <c r="C18" i="13"/>
  <c r="E16" i="13"/>
  <c r="D16" i="13"/>
  <c r="C16" i="13"/>
  <c r="E15" i="13"/>
  <c r="D15" i="13"/>
  <c r="C15" i="13"/>
  <c r="C12" i="13"/>
  <c r="E11" i="13"/>
  <c r="D11" i="13"/>
  <c r="C11" i="13"/>
  <c r="AA5" i="12"/>
  <c r="AB5" i="12"/>
  <c r="AC5" i="12"/>
  <c r="AD5" i="12"/>
  <c r="AE5" i="12"/>
  <c r="AF5" i="12"/>
  <c r="AG5" i="12"/>
  <c r="AH5" i="12"/>
  <c r="AI5" i="12"/>
  <c r="AJ5" i="12"/>
  <c r="Z5" i="12"/>
  <c r="Y12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Z7" i="12"/>
  <c r="AA7" i="12"/>
  <c r="AB7" i="12"/>
  <c r="AC7" i="12"/>
  <c r="AD7" i="12"/>
  <c r="AE7" i="12"/>
  <c r="AF7" i="12"/>
  <c r="AG7" i="12"/>
  <c r="AH7" i="12"/>
  <c r="AI7" i="12"/>
  <c r="AJ7" i="12"/>
  <c r="S56" i="4"/>
  <c r="Z12" i="12"/>
  <c r="AA12" i="12"/>
  <c r="AB12" i="12"/>
  <c r="AC12" i="12"/>
  <c r="AD12" i="12"/>
  <c r="AE12" i="12"/>
  <c r="AF12" i="12"/>
  <c r="AG12" i="12"/>
  <c r="AH12" i="12"/>
  <c r="AI12" i="12"/>
  <c r="AJ12" i="12"/>
  <c r="D35" i="13"/>
  <c r="P13" i="7"/>
  <c r="D37" i="13"/>
  <c r="S58" i="4"/>
  <c r="P22" i="12"/>
  <c r="J22" i="12"/>
  <c r="I22" i="12"/>
  <c r="H22" i="12"/>
  <c r="G22" i="12"/>
  <c r="F22" i="12"/>
  <c r="E22" i="12"/>
  <c r="Q26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Y11" i="12"/>
  <c r="E6" i="7"/>
  <c r="F6" i="7"/>
  <c r="G6" i="7"/>
  <c r="H6" i="7"/>
  <c r="I6" i="7"/>
  <c r="J6" i="7"/>
  <c r="K6" i="7"/>
  <c r="L6" i="7"/>
  <c r="M6" i="7"/>
  <c r="N6" i="7"/>
  <c r="D6" i="7"/>
  <c r="S8" i="6"/>
  <c r="T5" i="6"/>
  <c r="U5" i="6" s="1"/>
  <c r="E9" i="13"/>
  <c r="D9" i="13"/>
  <c r="C9" i="13"/>
  <c r="H12" i="6"/>
  <c r="H21" i="6"/>
  <c r="H18" i="6"/>
  <c r="H17" i="6"/>
  <c r="H15" i="6"/>
  <c r="H14" i="6"/>
  <c r="Q22" i="12"/>
  <c r="V22" i="12"/>
  <c r="S22" i="12"/>
  <c r="S21" i="12"/>
  <c r="S20" i="12"/>
  <c r="S19" i="12"/>
  <c r="S24" i="12"/>
  <c r="S14" i="12"/>
  <c r="S12" i="12"/>
  <c r="S11" i="12"/>
  <c r="S10" i="12"/>
  <c r="S9" i="12"/>
  <c r="F17" i="12"/>
  <c r="G17" i="12"/>
  <c r="H17" i="12"/>
  <c r="I17" i="12"/>
  <c r="J17" i="12"/>
  <c r="K17" i="12"/>
  <c r="L17" i="12"/>
  <c r="M17" i="12"/>
  <c r="N17" i="12"/>
  <c r="O17" i="12"/>
  <c r="P17" i="12"/>
  <c r="Z11" i="12"/>
  <c r="AA11" i="12"/>
  <c r="Q21" i="12"/>
  <c r="Q20" i="12"/>
  <c r="AB11" i="12"/>
  <c r="V21" i="12"/>
  <c r="Y9" i="12"/>
  <c r="Y14" i="12" s="1"/>
  <c r="AC11" i="12"/>
  <c r="G19" i="12"/>
  <c r="G24" i="12" s="1"/>
  <c r="G14" i="12"/>
  <c r="H3" i="4" s="1"/>
  <c r="P19" i="12"/>
  <c r="P24" i="12" s="1"/>
  <c r="P14" i="12"/>
  <c r="Q3" i="4" s="1"/>
  <c r="Q12" i="12"/>
  <c r="Q11" i="12"/>
  <c r="Q10" i="12"/>
  <c r="F7" i="12"/>
  <c r="G7" i="12"/>
  <c r="H7" i="12"/>
  <c r="I7" i="12"/>
  <c r="J7" i="12"/>
  <c r="K7" i="12"/>
  <c r="L7" i="12"/>
  <c r="M7" i="12"/>
  <c r="N7" i="12"/>
  <c r="O7" i="12"/>
  <c r="P7" i="12"/>
  <c r="P15" i="8"/>
  <c r="O16" i="8"/>
  <c r="P6" i="8"/>
  <c r="O9" i="8"/>
  <c r="AD11" i="12"/>
  <c r="AE11" i="12"/>
  <c r="AF11" i="12"/>
  <c r="R30" i="8"/>
  <c r="R23" i="8"/>
  <c r="N9" i="8"/>
  <c r="N16" i="8"/>
  <c r="AG11" i="12"/>
  <c r="AH11" i="12"/>
  <c r="AI11" i="12"/>
  <c r="M16" i="8"/>
  <c r="AJ11" i="12"/>
  <c r="D36" i="13"/>
  <c r="S57" i="4"/>
  <c r="L16" i="8"/>
  <c r="S37" i="8"/>
  <c r="K16" i="8"/>
  <c r="J16" i="8"/>
  <c r="R21" i="12"/>
  <c r="T21" i="12"/>
  <c r="T11" i="12"/>
  <c r="U30" i="8"/>
  <c r="U23" i="8"/>
  <c r="Y39" i="8"/>
  <c r="Z39" i="8"/>
  <c r="AA39" i="8"/>
  <c r="X30" i="8"/>
  <c r="X32" i="8"/>
  <c r="Y32" i="8"/>
  <c r="U32" i="8"/>
  <c r="X35" i="4"/>
  <c r="P7" i="8"/>
  <c r="P20" i="7"/>
  <c r="P27" i="7"/>
  <c r="P8" i="8"/>
  <c r="P14" i="8"/>
  <c r="Y33" i="8"/>
  <c r="S14" i="8"/>
  <c r="P13" i="8"/>
  <c r="S13" i="8"/>
  <c r="S6" i="8"/>
  <c r="S7" i="8"/>
  <c r="S8" i="8"/>
  <c r="S15" i="8"/>
  <c r="X22" i="4"/>
  <c r="X21" i="4"/>
  <c r="X18" i="4"/>
  <c r="X17" i="4"/>
  <c r="Y16" i="4"/>
  <c r="X16" i="4"/>
  <c r="X30" i="4"/>
  <c r="S35" i="8"/>
  <c r="R20" i="12"/>
  <c r="V10" i="12"/>
  <c r="T10" i="12"/>
  <c r="P34" i="7"/>
  <c r="T12" i="12"/>
  <c r="R22" i="12"/>
  <c r="T22" i="12"/>
  <c r="V20" i="12"/>
  <c r="T20" i="12"/>
  <c r="S6" i="4"/>
  <c r="X20" i="12"/>
  <c r="Q45" i="4"/>
  <c r="Q54" i="4"/>
  <c r="Q63" i="4"/>
  <c r="P45" i="4"/>
  <c r="P54" i="4"/>
  <c r="P63" i="4"/>
  <c r="O45" i="4"/>
  <c r="O54" i="4"/>
  <c r="O63" i="4"/>
  <c r="N45" i="4"/>
  <c r="N54" i="4"/>
  <c r="N63" i="4"/>
  <c r="M45" i="4"/>
  <c r="M54" i="4"/>
  <c r="L45" i="4"/>
  <c r="L54" i="4"/>
  <c r="K45" i="4"/>
  <c r="K54" i="4"/>
  <c r="J45" i="4"/>
  <c r="J54" i="4"/>
  <c r="I45" i="4"/>
  <c r="I54" i="4"/>
  <c r="H45" i="4"/>
  <c r="H54" i="4"/>
  <c r="G45" i="4"/>
  <c r="G54" i="4"/>
  <c r="F45" i="4"/>
  <c r="F54" i="4"/>
  <c r="R19" i="12"/>
  <c r="R14" i="12"/>
  <c r="R24" i="12"/>
  <c r="N19" i="12" l="1"/>
  <c r="N24" i="12" s="1"/>
  <c r="AF28" i="6"/>
  <c r="AF34" i="6" s="1"/>
  <c r="O14" i="12"/>
  <c r="P3" i="4" s="1"/>
  <c r="M14" i="12"/>
  <c r="N3" i="4" s="1"/>
  <c r="L5" i="8" s="1"/>
  <c r="L9" i="8" s="1"/>
  <c r="H84" i="6"/>
  <c r="I84" i="6"/>
  <c r="T9" i="6"/>
  <c r="J11" i="6"/>
  <c r="D8" i="13"/>
  <c r="H35" i="6"/>
  <c r="I13" i="14"/>
  <c r="S11" i="6"/>
  <c r="K12" i="14"/>
  <c r="D7" i="13"/>
  <c r="E12" i="13"/>
  <c r="I29" i="6"/>
  <c r="J37" i="6"/>
  <c r="H56" i="6"/>
  <c r="H75" i="6"/>
  <c r="H86" i="6"/>
  <c r="K17" i="7"/>
  <c r="I56" i="6"/>
  <c r="I75" i="6"/>
  <c r="H9" i="6"/>
  <c r="I17" i="7"/>
  <c r="J24" i="6"/>
  <c r="D24" i="7"/>
  <c r="I20" i="6"/>
  <c r="I18" i="14"/>
  <c r="C17" i="13"/>
  <c r="H37" i="6"/>
  <c r="J16" i="14"/>
  <c r="H49" i="6"/>
  <c r="H89" i="6"/>
  <c r="J52" i="6"/>
  <c r="D17" i="7"/>
  <c r="H29" i="6"/>
  <c r="S17" i="6"/>
  <c r="H8" i="6"/>
  <c r="I19" i="14"/>
  <c r="E17" i="13"/>
  <c r="I45" i="6"/>
  <c r="U42" i="6" s="1"/>
  <c r="D12" i="13"/>
  <c r="U43" i="6"/>
  <c r="U16" i="6"/>
  <c r="V5" i="6"/>
  <c r="V16" i="6" s="1"/>
  <c r="C26" i="13"/>
  <c r="J82" i="6"/>
  <c r="F17" i="7"/>
  <c r="H31" i="6"/>
  <c r="K27" i="7"/>
  <c r="C17" i="7"/>
  <c r="T43" i="6"/>
  <c r="D13" i="13"/>
  <c r="J16" i="6"/>
  <c r="J40" i="6"/>
  <c r="C19" i="13"/>
  <c r="C20" i="7"/>
  <c r="D25" i="7"/>
  <c r="C19" i="7"/>
  <c r="J35" i="6"/>
  <c r="K8" i="14"/>
  <c r="I11" i="14"/>
  <c r="I21" i="14"/>
  <c r="T10" i="6"/>
  <c r="T13" i="6"/>
  <c r="G20" i="7"/>
  <c r="H27" i="6"/>
  <c r="E14" i="13"/>
  <c r="I35" i="6"/>
  <c r="T42" i="6" s="1"/>
  <c r="J8" i="6"/>
  <c r="J89" i="6"/>
  <c r="J19" i="14"/>
  <c r="K19" i="14"/>
  <c r="D5" i="13"/>
  <c r="F24" i="7"/>
  <c r="I10" i="6"/>
  <c r="T21" i="6"/>
  <c r="S22" i="6"/>
  <c r="H20" i="7"/>
  <c r="J19" i="6"/>
  <c r="I8" i="6"/>
  <c r="D19" i="13"/>
  <c r="J27" i="7"/>
  <c r="T18" i="6"/>
  <c r="T11" i="6"/>
  <c r="I20" i="7"/>
  <c r="J45" i="6"/>
  <c r="I24" i="6"/>
  <c r="I66" i="6"/>
  <c r="C7" i="13"/>
  <c r="M27" i="7"/>
  <c r="I42" i="6"/>
  <c r="U41" i="6" s="1"/>
  <c r="I37" i="6"/>
  <c r="T15" i="6"/>
  <c r="T12" i="6"/>
  <c r="J20" i="7"/>
  <c r="H23" i="6"/>
  <c r="C8" i="13"/>
  <c r="H71" i="6"/>
  <c r="J66" i="6"/>
  <c r="H27" i="7"/>
  <c r="H13" i="6"/>
  <c r="I74" i="6"/>
  <c r="E7" i="13"/>
  <c r="S31" i="6"/>
  <c r="F50" i="4" s="1"/>
  <c r="F58" i="4" s="1"/>
  <c r="S43" i="6"/>
  <c r="N20" i="7"/>
  <c r="F19" i="7"/>
  <c r="T16" i="6"/>
  <c r="E19" i="13"/>
  <c r="J49" i="6"/>
  <c r="I25" i="6"/>
  <c r="E6" i="13"/>
  <c r="I71" i="6"/>
  <c r="C34" i="13"/>
  <c r="C45" i="13" s="1"/>
  <c r="H82" i="6"/>
  <c r="G17" i="7"/>
  <c r="G26" i="7"/>
  <c r="H34" i="6"/>
  <c r="I13" i="6"/>
  <c r="S41" i="6" s="1"/>
  <c r="I82" i="6"/>
  <c r="M24" i="7"/>
  <c r="K20" i="7"/>
  <c r="K21" i="14"/>
  <c r="E5" i="13"/>
  <c r="T28" i="6"/>
  <c r="D10" i="7" s="1"/>
  <c r="E19" i="8" s="1"/>
  <c r="E26" i="8" s="1"/>
  <c r="L17" i="7"/>
  <c r="K24" i="7"/>
  <c r="L20" i="7"/>
  <c r="C10" i="13"/>
  <c r="C35" i="13"/>
  <c r="E35" i="13" s="1"/>
  <c r="K18" i="14"/>
  <c r="K11" i="14"/>
  <c r="I14" i="14"/>
  <c r="I27" i="14" s="1"/>
  <c r="H30" i="6"/>
  <c r="I64" i="6"/>
  <c r="J71" i="6"/>
  <c r="H60" i="6"/>
  <c r="H69" i="6"/>
  <c r="D28" i="13"/>
  <c r="J11" i="14"/>
  <c r="S10" i="6"/>
  <c r="N24" i="7"/>
  <c r="E28" i="13"/>
  <c r="J10" i="6"/>
  <c r="C6" i="13"/>
  <c r="H10" i="6"/>
  <c r="E24" i="7"/>
  <c r="H11" i="6"/>
  <c r="C24" i="7"/>
  <c r="N17" i="7"/>
  <c r="H18" i="7"/>
  <c r="N27" i="7"/>
  <c r="H42" i="6"/>
  <c r="E13" i="13"/>
  <c r="J25" i="6"/>
  <c r="J56" i="6"/>
  <c r="J84" i="6"/>
  <c r="E26" i="13"/>
  <c r="T22" i="6"/>
  <c r="T31" i="6"/>
  <c r="D13" i="7" s="1"/>
  <c r="E22" i="8" s="1"/>
  <c r="J24" i="7"/>
  <c r="M20" i="7"/>
  <c r="D17" i="13"/>
  <c r="C36" i="13"/>
  <c r="E36" i="13" s="1"/>
  <c r="E17" i="7"/>
  <c r="J18" i="14"/>
  <c r="I16" i="6"/>
  <c r="J64" i="6"/>
  <c r="H64" i="6"/>
  <c r="V28" i="6"/>
  <c r="I47" i="4" s="1"/>
  <c r="I55" i="4" s="1"/>
  <c r="U11" i="6"/>
  <c r="K19" i="7"/>
  <c r="U30" i="6"/>
  <c r="E12" i="7" s="1"/>
  <c r="F21" i="8" s="1"/>
  <c r="F28" i="8" s="1"/>
  <c r="I12" i="14"/>
  <c r="H66" i="6"/>
  <c r="H20" i="6"/>
  <c r="S28" i="6"/>
  <c r="F47" i="4" s="1"/>
  <c r="F55" i="4" s="1"/>
  <c r="C25" i="7"/>
  <c r="M26" i="7"/>
  <c r="C27" i="7"/>
  <c r="J23" i="6"/>
  <c r="H16" i="6"/>
  <c r="J17" i="7"/>
  <c r="H45" i="6"/>
  <c r="J13" i="14"/>
  <c r="H67" i="6"/>
  <c r="U12" i="6"/>
  <c r="D6" i="13"/>
  <c r="S19" i="6"/>
  <c r="E25" i="7"/>
  <c r="J19" i="7"/>
  <c r="D20" i="7"/>
  <c r="E27" i="7"/>
  <c r="D14" i="13"/>
  <c r="I23" i="6"/>
  <c r="I8" i="14"/>
  <c r="J54" i="6"/>
  <c r="I24" i="7"/>
  <c r="U14" i="6"/>
  <c r="J20" i="6"/>
  <c r="C5" i="13"/>
  <c r="M17" i="7"/>
  <c r="H24" i="6"/>
  <c r="H40" i="6"/>
  <c r="I40" i="6"/>
  <c r="E187" i="6"/>
  <c r="M18" i="7"/>
  <c r="J31" i="6"/>
  <c r="U21" i="6"/>
  <c r="T29" i="6"/>
  <c r="G48" i="4" s="1"/>
  <c r="G56" i="4" s="1"/>
  <c r="G24" i="7"/>
  <c r="D27" i="7"/>
  <c r="T20" i="6"/>
  <c r="L24" i="7"/>
  <c r="E20" i="7"/>
  <c r="F27" i="7"/>
  <c r="C27" i="13"/>
  <c r="J8" i="14"/>
  <c r="C13" i="13"/>
  <c r="I69" i="6"/>
  <c r="H52" i="6"/>
  <c r="H74" i="6"/>
  <c r="U15" i="6"/>
  <c r="T19" i="6"/>
  <c r="D26" i="13"/>
  <c r="H17" i="7"/>
  <c r="H24" i="7"/>
  <c r="D19" i="7"/>
  <c r="E19" i="7"/>
  <c r="H25" i="6"/>
  <c r="C14" i="13"/>
  <c r="H19" i="6"/>
  <c r="T17" i="6"/>
  <c r="S21" i="6"/>
  <c r="F20" i="7"/>
  <c r="G27" i="7"/>
  <c r="C28" i="13"/>
  <c r="I9" i="6"/>
  <c r="H54" i="6"/>
  <c r="F25" i="7"/>
  <c r="J25" i="7"/>
  <c r="G25" i="7"/>
  <c r="K25" i="7"/>
  <c r="D18" i="7"/>
  <c r="J18" i="7"/>
  <c r="N25" i="7"/>
  <c r="K18" i="7"/>
  <c r="N18" i="7"/>
  <c r="S29" i="6"/>
  <c r="C11" i="7" s="1"/>
  <c r="D20" i="8" s="1"/>
  <c r="D27" i="8" s="1"/>
  <c r="L18" i="7"/>
  <c r="G18" i="7"/>
  <c r="H25" i="7"/>
  <c r="E18" i="7"/>
  <c r="U9" i="6"/>
  <c r="U31" i="6"/>
  <c r="E13" i="7" s="1"/>
  <c r="E34" i="7" s="1"/>
  <c r="U17" i="6"/>
  <c r="U19" i="6"/>
  <c r="U29" i="6"/>
  <c r="H48" i="4" s="1"/>
  <c r="H56" i="4" s="1"/>
  <c r="U18" i="6"/>
  <c r="U8" i="6"/>
  <c r="U28" i="6"/>
  <c r="H47" i="4" s="1"/>
  <c r="H55" i="4" s="1"/>
  <c r="U13" i="6"/>
  <c r="U10" i="6"/>
  <c r="U20" i="6"/>
  <c r="U22" i="6"/>
  <c r="F18" i="7"/>
  <c r="V15" i="6"/>
  <c r="C18" i="7"/>
  <c r="M25" i="7"/>
  <c r="N26" i="7"/>
  <c r="S30" i="6"/>
  <c r="F49" i="4" s="1"/>
  <c r="F57" i="4" s="1"/>
  <c r="T30" i="6"/>
  <c r="G49" i="4" s="1"/>
  <c r="G57" i="4" s="1"/>
  <c r="E26" i="7"/>
  <c r="L19" i="7"/>
  <c r="F26" i="7"/>
  <c r="D26" i="7"/>
  <c r="L26" i="7"/>
  <c r="C26" i="7"/>
  <c r="J26" i="7"/>
  <c r="K26" i="7"/>
  <c r="N19" i="7"/>
  <c r="H19" i="7"/>
  <c r="M19" i="7"/>
  <c r="I19" i="7"/>
  <c r="I26" i="7"/>
  <c r="H26" i="7"/>
  <c r="G19" i="7"/>
  <c r="L25" i="7"/>
  <c r="I52" i="6"/>
  <c r="I27" i="6"/>
  <c r="T41" i="6" s="1"/>
  <c r="F101" i="6"/>
  <c r="I18" i="7" s="1"/>
  <c r="J27" i="6"/>
  <c r="J34" i="6"/>
  <c r="I54" i="6"/>
  <c r="G101" i="6"/>
  <c r="I25" i="7" s="1"/>
  <c r="T8" i="6"/>
  <c r="T14" i="6"/>
  <c r="I86" i="6"/>
  <c r="J21" i="14"/>
  <c r="J86" i="6"/>
  <c r="I67" i="6"/>
  <c r="I27" i="7"/>
  <c r="H38" i="6"/>
  <c r="J38" i="6"/>
  <c r="J67" i="6"/>
  <c r="J75" i="6"/>
  <c r="F14" i="12"/>
  <c r="G3" i="4" s="1"/>
  <c r="E5" i="8" s="1"/>
  <c r="K14" i="12"/>
  <c r="L3" i="4" s="1"/>
  <c r="J5" i="8" s="1"/>
  <c r="J9" i="8" s="1"/>
  <c r="Z9" i="12"/>
  <c r="AA9" i="12" s="1"/>
  <c r="L19" i="12"/>
  <c r="L24" i="12" s="1"/>
  <c r="E14" i="12"/>
  <c r="F3" i="4" s="1"/>
  <c r="E19" i="12"/>
  <c r="E24" i="12" s="1"/>
  <c r="F6" i="4"/>
  <c r="G6" i="4" s="1"/>
  <c r="H6" i="4" s="1"/>
  <c r="I6" i="4" s="1"/>
  <c r="J6" i="4" s="1"/>
  <c r="D5" i="8"/>
  <c r="E9" i="8"/>
  <c r="E12" i="8"/>
  <c r="E16" i="8" s="1"/>
  <c r="AB9" i="12"/>
  <c r="AA14" i="12"/>
  <c r="G9" i="8"/>
  <c r="G12" i="8"/>
  <c r="G16" i="8" s="1"/>
  <c r="F5" i="8"/>
  <c r="H9" i="8"/>
  <c r="H12" i="8"/>
  <c r="H16" i="8" s="1"/>
  <c r="J14" i="12"/>
  <c r="K3" i="4" s="1"/>
  <c r="I5" i="8" s="1"/>
  <c r="I19" i="12"/>
  <c r="I24" i="12" s="1"/>
  <c r="H19" i="12"/>
  <c r="Q9" i="12"/>
  <c r="I99" i="6"/>
  <c r="J99" i="6"/>
  <c r="I104" i="6"/>
  <c r="I97" i="6"/>
  <c r="Z14" i="12" l="1"/>
  <c r="F26" i="13"/>
  <c r="I26" i="14"/>
  <c r="K21" i="7"/>
  <c r="M28" i="7"/>
  <c r="V22" i="6"/>
  <c r="G28" i="7"/>
  <c r="I28" i="14"/>
  <c r="I30" i="14" s="1"/>
  <c r="V9" i="6"/>
  <c r="V19" i="6"/>
  <c r="V30" i="6"/>
  <c r="F12" i="7" s="1"/>
  <c r="F33" i="7" s="1"/>
  <c r="W5" i="6"/>
  <c r="W13" i="6" s="1"/>
  <c r="S42" i="6"/>
  <c r="V17" i="6"/>
  <c r="E28" i="7"/>
  <c r="V12" i="6"/>
  <c r="D34" i="7"/>
  <c r="V11" i="6"/>
  <c r="N28" i="7"/>
  <c r="V31" i="6"/>
  <c r="F13" i="7" s="1"/>
  <c r="G22" i="8" s="1"/>
  <c r="G29" i="8" s="1"/>
  <c r="H21" i="7"/>
  <c r="V42" i="6"/>
  <c r="V29" i="6"/>
  <c r="F11" i="7" s="1"/>
  <c r="G20" i="8" s="1"/>
  <c r="G27" i="8" s="1"/>
  <c r="V18" i="6"/>
  <c r="S40" i="6"/>
  <c r="G50" i="4"/>
  <c r="G58" i="4" s="1"/>
  <c r="F21" i="7"/>
  <c r="U40" i="6"/>
  <c r="U45" i="6" s="1"/>
  <c r="V20" i="6"/>
  <c r="V10" i="6"/>
  <c r="C21" i="7"/>
  <c r="V43" i="6"/>
  <c r="V41" i="6"/>
  <c r="V14" i="6"/>
  <c r="V8" i="6"/>
  <c r="V21" i="6"/>
  <c r="F10" i="7"/>
  <c r="G19" i="8" s="1"/>
  <c r="V13" i="6"/>
  <c r="E21" i="7"/>
  <c r="I28" i="7"/>
  <c r="D21" i="7"/>
  <c r="T40" i="6"/>
  <c r="T45" i="6" s="1"/>
  <c r="E11" i="7"/>
  <c r="F20" i="8" s="1"/>
  <c r="F27" i="8" s="1"/>
  <c r="F28" i="13"/>
  <c r="U34" i="6"/>
  <c r="I24" i="14"/>
  <c r="N21" i="7"/>
  <c r="O24" i="7"/>
  <c r="C39" i="13"/>
  <c r="C28" i="7"/>
  <c r="S24" i="6"/>
  <c r="F4" i="4" s="1"/>
  <c r="F7" i="4" s="1"/>
  <c r="I21" i="7"/>
  <c r="C31" i="13"/>
  <c r="M21" i="7"/>
  <c r="D28" i="7"/>
  <c r="C22" i="13"/>
  <c r="C10" i="7"/>
  <c r="C31" i="7" s="1"/>
  <c r="C13" i="7"/>
  <c r="D22" i="8" s="1"/>
  <c r="D29" i="8" s="1"/>
  <c r="C12" i="7"/>
  <c r="C33" i="7" s="1"/>
  <c r="V40" i="6"/>
  <c r="F28" i="7"/>
  <c r="O20" i="7"/>
  <c r="Q20" i="7" s="1"/>
  <c r="D11" i="7"/>
  <c r="E20" i="8" s="1"/>
  <c r="E27" i="8" s="1"/>
  <c r="O17" i="7"/>
  <c r="H49" i="4"/>
  <c r="H57" i="4" s="1"/>
  <c r="E33" i="7"/>
  <c r="O27" i="7"/>
  <c r="Q27" i="7" s="1"/>
  <c r="K28" i="7"/>
  <c r="G26" i="13"/>
  <c r="H26" i="13" s="1"/>
  <c r="T34" i="6"/>
  <c r="O19" i="7"/>
  <c r="Q19" i="7" s="1"/>
  <c r="G47" i="4"/>
  <c r="J21" i="7"/>
  <c r="D31" i="7"/>
  <c r="C32" i="7"/>
  <c r="L28" i="7"/>
  <c r="F22" i="8"/>
  <c r="F29" i="8" s="1"/>
  <c r="J14" i="14"/>
  <c r="J24" i="14" s="1"/>
  <c r="H28" i="7"/>
  <c r="U24" i="6"/>
  <c r="H4" i="4" s="1"/>
  <c r="H50" i="4"/>
  <c r="H58" i="4" s="1"/>
  <c r="G21" i="7"/>
  <c r="J28" i="7"/>
  <c r="L21" i="7"/>
  <c r="O18" i="7"/>
  <c r="Q18" i="7" s="1"/>
  <c r="W30" i="6"/>
  <c r="W29" i="6"/>
  <c r="W18" i="6"/>
  <c r="W41" i="6"/>
  <c r="W43" i="6"/>
  <c r="W15" i="6"/>
  <c r="O25" i="7"/>
  <c r="Q25" i="7" s="1"/>
  <c r="S34" i="6"/>
  <c r="J101" i="6"/>
  <c r="D27" i="13"/>
  <c r="D31" i="13" s="1"/>
  <c r="F48" i="4"/>
  <c r="F51" i="4" s="1"/>
  <c r="O26" i="7"/>
  <c r="Q26" i="7" s="1"/>
  <c r="E10" i="7"/>
  <c r="F19" i="8" s="1"/>
  <c r="K14" i="14"/>
  <c r="K24" i="14" s="1"/>
  <c r="E10" i="13"/>
  <c r="E22" i="13" s="1"/>
  <c r="H101" i="6"/>
  <c r="G187" i="6"/>
  <c r="E27" i="13"/>
  <c r="F187" i="6"/>
  <c r="G21" i="8"/>
  <c r="G28" i="8" s="1"/>
  <c r="T24" i="6"/>
  <c r="G4" i="4" s="1"/>
  <c r="D12" i="7"/>
  <c r="D33" i="7" s="1"/>
  <c r="D10" i="13"/>
  <c r="D22" i="13" s="1"/>
  <c r="I101" i="6"/>
  <c r="I187" i="6" s="1"/>
  <c r="D9" i="8"/>
  <c r="D12" i="8"/>
  <c r="D16" i="8" s="1"/>
  <c r="H24" i="12"/>
  <c r="Q19" i="12"/>
  <c r="I9" i="8"/>
  <c r="I12" i="8"/>
  <c r="I16" i="8" s="1"/>
  <c r="F12" i="8"/>
  <c r="F9" i="8"/>
  <c r="Q14" i="12"/>
  <c r="T14" i="12" s="1"/>
  <c r="T9" i="12"/>
  <c r="S3" i="4"/>
  <c r="AC9" i="12"/>
  <c r="AB14" i="12"/>
  <c r="K6" i="4"/>
  <c r="L6" i="4" s="1"/>
  <c r="M6" i="4" s="1"/>
  <c r="N6" i="4" s="1"/>
  <c r="O6" i="4" s="1"/>
  <c r="P6" i="4" s="1"/>
  <c r="Q6" i="4" s="1"/>
  <c r="T6" i="4" s="1"/>
  <c r="P5" i="8"/>
  <c r="F31" i="7"/>
  <c r="G26" i="8"/>
  <c r="E29" i="8"/>
  <c r="W40" i="6" l="1"/>
  <c r="W17" i="6"/>
  <c r="X5" i="6"/>
  <c r="X40" i="6" s="1"/>
  <c r="W21" i="6"/>
  <c r="W9" i="6"/>
  <c r="W8" i="6"/>
  <c r="V24" i="6"/>
  <c r="W10" i="6"/>
  <c r="F32" i="7"/>
  <c r="I48" i="4"/>
  <c r="I56" i="4" s="1"/>
  <c r="D21" i="8"/>
  <c r="S45" i="6"/>
  <c r="E31" i="7"/>
  <c r="H59" i="4"/>
  <c r="E32" i="7"/>
  <c r="G51" i="4"/>
  <c r="C34" i="7"/>
  <c r="W22" i="6"/>
  <c r="W20" i="6"/>
  <c r="V45" i="6"/>
  <c r="W28" i="6"/>
  <c r="G10" i="7" s="1"/>
  <c r="W42" i="6"/>
  <c r="W45" i="6" s="1"/>
  <c r="F34" i="7"/>
  <c r="C14" i="7"/>
  <c r="C35" i="7" s="1"/>
  <c r="W31" i="6"/>
  <c r="J50" i="4" s="1"/>
  <c r="F14" i="7"/>
  <c r="F35" i="7" s="1"/>
  <c r="W12" i="6"/>
  <c r="W11" i="6"/>
  <c r="I50" i="4"/>
  <c r="I58" i="4" s="1"/>
  <c r="W14" i="6"/>
  <c r="W16" i="6"/>
  <c r="I49" i="4"/>
  <c r="I57" i="4" s="1"/>
  <c r="I59" i="4" s="1"/>
  <c r="I4" i="4" s="1"/>
  <c r="W19" i="6"/>
  <c r="V34" i="6"/>
  <c r="E21" i="8"/>
  <c r="E23" i="8" s="1"/>
  <c r="G30" i="8"/>
  <c r="F23" i="8"/>
  <c r="D19" i="8"/>
  <c r="D26" i="8" s="1"/>
  <c r="G55" i="4"/>
  <c r="G59" i="4" s="1"/>
  <c r="H51" i="4"/>
  <c r="D32" i="7"/>
  <c r="D14" i="7"/>
  <c r="D35" i="7" s="1"/>
  <c r="O21" i="7"/>
  <c r="F26" i="8"/>
  <c r="F30" i="8" s="1"/>
  <c r="G23" i="8"/>
  <c r="J48" i="4"/>
  <c r="J56" i="4" s="1"/>
  <c r="G11" i="7"/>
  <c r="O28" i="7"/>
  <c r="F27" i="13"/>
  <c r="E31" i="13"/>
  <c r="H187" i="6"/>
  <c r="X19" i="6"/>
  <c r="X9" i="6"/>
  <c r="X18" i="6"/>
  <c r="X17" i="6"/>
  <c r="X11" i="6"/>
  <c r="X22" i="6"/>
  <c r="X31" i="6"/>
  <c r="X15" i="6"/>
  <c r="X20" i="6"/>
  <c r="X14" i="6"/>
  <c r="X30" i="6"/>
  <c r="X16" i="6"/>
  <c r="X12" i="6"/>
  <c r="X10" i="6"/>
  <c r="Y5" i="6"/>
  <c r="X21" i="6"/>
  <c r="X28" i="6"/>
  <c r="X29" i="6"/>
  <c r="X13" i="6"/>
  <c r="X43" i="6"/>
  <c r="X8" i="6"/>
  <c r="X42" i="6"/>
  <c r="J49" i="4"/>
  <c r="G12" i="7"/>
  <c r="X41" i="6"/>
  <c r="F56" i="4"/>
  <c r="F59" i="4" s="1"/>
  <c r="E14" i="7"/>
  <c r="E35" i="7" s="1"/>
  <c r="AC14" i="12"/>
  <c r="AD9" i="12"/>
  <c r="P9" i="8"/>
  <c r="S5" i="8"/>
  <c r="S9" i="8" s="1"/>
  <c r="P12" i="8"/>
  <c r="F16" i="8"/>
  <c r="V19" i="12"/>
  <c r="V24" i="12" s="1"/>
  <c r="V25" i="12" s="1"/>
  <c r="Q24" i="12"/>
  <c r="T24" i="12" s="1"/>
  <c r="T19" i="12"/>
  <c r="E28" i="8"/>
  <c r="E30" i="8" s="1"/>
  <c r="D28" i="8"/>
  <c r="F8" i="4"/>
  <c r="G7" i="4"/>
  <c r="W24" i="6" l="1"/>
  <c r="I51" i="4"/>
  <c r="D23" i="8"/>
  <c r="G13" i="7"/>
  <c r="W34" i="6"/>
  <c r="J47" i="4"/>
  <c r="J55" i="4" s="1"/>
  <c r="X45" i="6"/>
  <c r="X24" i="6"/>
  <c r="J58" i="4"/>
  <c r="H22" i="8"/>
  <c r="G34" i="7"/>
  <c r="S48" i="4"/>
  <c r="H12" i="7"/>
  <c r="K49" i="4"/>
  <c r="K57" i="4" s="1"/>
  <c r="H13" i="7"/>
  <c r="K50" i="4"/>
  <c r="K58" i="4" s="1"/>
  <c r="G32" i="7"/>
  <c r="H20" i="8"/>
  <c r="K47" i="4"/>
  <c r="H10" i="7"/>
  <c r="X34" i="6"/>
  <c r="J57" i="4"/>
  <c r="H11" i="7"/>
  <c r="K48" i="4"/>
  <c r="H19" i="8"/>
  <c r="G31" i="7"/>
  <c r="G14" i="7"/>
  <c r="G35" i="7" s="1"/>
  <c r="Y43" i="6"/>
  <c r="Y10" i="6"/>
  <c r="Y21" i="6"/>
  <c r="Y20" i="6"/>
  <c r="Y15" i="6"/>
  <c r="Y29" i="6"/>
  <c r="Y30" i="6"/>
  <c r="Y22" i="6"/>
  <c r="Y13" i="6"/>
  <c r="Y14" i="6"/>
  <c r="Y9" i="6"/>
  <c r="Y18" i="6"/>
  <c r="Y8" i="6"/>
  <c r="Y11" i="6"/>
  <c r="Y31" i="6"/>
  <c r="Y28" i="6"/>
  <c r="Y12" i="6"/>
  <c r="Z5" i="6"/>
  <c r="Y16" i="6"/>
  <c r="Y19" i="6"/>
  <c r="Y17" i="6"/>
  <c r="Y42" i="6"/>
  <c r="Y40" i="6"/>
  <c r="Y41" i="6"/>
  <c r="H21" i="8"/>
  <c r="G33" i="7"/>
  <c r="AE9" i="12"/>
  <c r="AD14" i="12"/>
  <c r="S12" i="8"/>
  <c r="S16" i="8" s="1"/>
  <c r="P16" i="8"/>
  <c r="G8" i="4"/>
  <c r="H7" i="4"/>
  <c r="D30" i="8"/>
  <c r="J51" i="4" l="1"/>
  <c r="Y24" i="6"/>
  <c r="L49" i="4"/>
  <c r="L57" i="4" s="1"/>
  <c r="I12" i="7"/>
  <c r="I10" i="7"/>
  <c r="Y34" i="6"/>
  <c r="L47" i="4"/>
  <c r="H26" i="8"/>
  <c r="H23" i="8"/>
  <c r="H33" i="7"/>
  <c r="I21" i="8"/>
  <c r="I28" i="8" s="1"/>
  <c r="U49" i="4"/>
  <c r="H28" i="8"/>
  <c r="H32" i="7"/>
  <c r="I20" i="8"/>
  <c r="I27" i="8" s="1"/>
  <c r="K56" i="4"/>
  <c r="U48" i="4"/>
  <c r="H29" i="8"/>
  <c r="L48" i="4"/>
  <c r="L56" i="4" s="1"/>
  <c r="I11" i="7"/>
  <c r="H14" i="7"/>
  <c r="H35" i="7" s="1"/>
  <c r="H31" i="7"/>
  <c r="I19" i="8"/>
  <c r="U50" i="4"/>
  <c r="H27" i="8"/>
  <c r="L50" i="4"/>
  <c r="L58" i="4" s="1"/>
  <c r="I13" i="7"/>
  <c r="H34" i="7"/>
  <c r="I22" i="8"/>
  <c r="I29" i="8" s="1"/>
  <c r="Y45" i="6"/>
  <c r="K51" i="4"/>
  <c r="K55" i="4"/>
  <c r="Z11" i="6"/>
  <c r="Z28" i="6"/>
  <c r="Z22" i="6"/>
  <c r="Z12" i="6"/>
  <c r="Z42" i="6"/>
  <c r="Z41" i="6"/>
  <c r="Z10" i="6"/>
  <c r="Z40" i="6"/>
  <c r="Z15" i="6"/>
  <c r="Z43" i="6"/>
  <c r="Z13" i="6"/>
  <c r="Z31" i="6"/>
  <c r="Z19" i="6"/>
  <c r="AA5" i="6"/>
  <c r="Z9" i="6"/>
  <c r="Z14" i="6"/>
  <c r="Z8" i="6"/>
  <c r="Z20" i="6"/>
  <c r="Z29" i="6"/>
  <c r="Z18" i="6"/>
  <c r="Z21" i="6"/>
  <c r="Z30" i="6"/>
  <c r="Z16" i="6"/>
  <c r="Z17" i="6"/>
  <c r="J59" i="4"/>
  <c r="J4" i="4" s="1"/>
  <c r="AF9" i="12"/>
  <c r="AE14" i="12"/>
  <c r="I7" i="4"/>
  <c r="H8" i="4"/>
  <c r="I23" i="8" l="1"/>
  <c r="I26" i="8"/>
  <c r="I30" i="8" s="1"/>
  <c r="J10" i="7"/>
  <c r="Z34" i="6"/>
  <c r="M47" i="4"/>
  <c r="M49" i="4"/>
  <c r="M57" i="4" s="1"/>
  <c r="J12" i="7"/>
  <c r="AA17" i="6"/>
  <c r="AA19" i="6"/>
  <c r="AA15" i="6"/>
  <c r="AA16" i="6"/>
  <c r="AA10" i="6"/>
  <c r="AA8" i="6"/>
  <c r="AA40" i="6"/>
  <c r="AA13" i="6"/>
  <c r="AA43" i="6"/>
  <c r="AA18" i="6"/>
  <c r="AA12" i="6"/>
  <c r="AA41" i="6"/>
  <c r="AA42" i="6"/>
  <c r="AA9" i="6"/>
  <c r="AB5" i="6"/>
  <c r="AA31" i="6"/>
  <c r="AA22" i="6"/>
  <c r="AA29" i="6"/>
  <c r="AA21" i="6"/>
  <c r="AA30" i="6"/>
  <c r="AA14" i="6"/>
  <c r="AA28" i="6"/>
  <c r="AA20" i="6"/>
  <c r="AA11" i="6"/>
  <c r="H30" i="8"/>
  <c r="Z45" i="6"/>
  <c r="J21" i="8"/>
  <c r="I33" i="7"/>
  <c r="J11" i="7"/>
  <c r="M48" i="4"/>
  <c r="M50" i="4"/>
  <c r="M58" i="4" s="1"/>
  <c r="J13" i="7"/>
  <c r="J22" i="8"/>
  <c r="I34" i="7"/>
  <c r="L59" i="4"/>
  <c r="L4" i="4" s="1"/>
  <c r="I31" i="7"/>
  <c r="I14" i="7"/>
  <c r="I35" i="7" s="1"/>
  <c r="J19" i="8"/>
  <c r="Z24" i="6"/>
  <c r="I32" i="7"/>
  <c r="J20" i="8"/>
  <c r="K59" i="4"/>
  <c r="K4" i="4" s="1"/>
  <c r="L55" i="4"/>
  <c r="L51" i="4"/>
  <c r="AG9" i="12"/>
  <c r="AF14" i="12"/>
  <c r="I8" i="4"/>
  <c r="J7" i="4"/>
  <c r="AA45" i="6" l="1"/>
  <c r="K19" i="8"/>
  <c r="J31" i="7"/>
  <c r="J14" i="7"/>
  <c r="J35" i="7" s="1"/>
  <c r="J29" i="8"/>
  <c r="K11" i="7"/>
  <c r="N48" i="4"/>
  <c r="N56" i="4" s="1"/>
  <c r="M56" i="4"/>
  <c r="K20" i="8"/>
  <c r="K27" i="8" s="1"/>
  <c r="J32" i="7"/>
  <c r="AB17" i="6"/>
  <c r="AB9" i="6"/>
  <c r="AB40" i="6"/>
  <c r="AB10" i="6"/>
  <c r="AB14" i="6"/>
  <c r="AB16" i="6"/>
  <c r="AB11" i="6"/>
  <c r="AB30" i="6"/>
  <c r="AB21" i="6"/>
  <c r="AB42" i="6"/>
  <c r="AB13" i="6"/>
  <c r="AB22" i="6"/>
  <c r="AB41" i="6"/>
  <c r="AB20" i="6"/>
  <c r="AB43" i="6"/>
  <c r="AB8" i="6"/>
  <c r="AB29" i="6"/>
  <c r="AB18" i="6"/>
  <c r="AB19" i="6"/>
  <c r="AB28" i="6"/>
  <c r="AB12" i="6"/>
  <c r="AC5" i="6"/>
  <c r="AB31" i="6"/>
  <c r="AB15" i="6"/>
  <c r="M55" i="4"/>
  <c r="M51" i="4"/>
  <c r="AA24" i="6"/>
  <c r="N49" i="4"/>
  <c r="K12" i="7"/>
  <c r="J27" i="8"/>
  <c r="N50" i="4"/>
  <c r="N58" i="4" s="1"/>
  <c r="K13" i="7"/>
  <c r="J33" i="7"/>
  <c r="K21" i="8"/>
  <c r="K28" i="8" s="1"/>
  <c r="AA34" i="6"/>
  <c r="N47" i="4"/>
  <c r="K10" i="7"/>
  <c r="K22" i="8"/>
  <c r="K29" i="8" s="1"/>
  <c r="J34" i="7"/>
  <c r="J28" i="8"/>
  <c r="J23" i="8"/>
  <c r="J26" i="8"/>
  <c r="AG14" i="12"/>
  <c r="AH9" i="12"/>
  <c r="J8" i="4"/>
  <c r="K7" i="4"/>
  <c r="M59" i="4" l="1"/>
  <c r="M4" i="4" s="1"/>
  <c r="L20" i="8"/>
  <c r="K32" i="7"/>
  <c r="K31" i="7"/>
  <c r="K14" i="7"/>
  <c r="K35" i="7" s="1"/>
  <c r="L19" i="8"/>
  <c r="L12" i="7"/>
  <c r="O49" i="4"/>
  <c r="O57" i="4" s="1"/>
  <c r="O47" i="4"/>
  <c r="L10" i="7"/>
  <c r="AB34" i="6"/>
  <c r="AB24" i="6"/>
  <c r="K34" i="7"/>
  <c r="L22" i="8"/>
  <c r="L29" i="8" s="1"/>
  <c r="J30" i="8"/>
  <c r="L21" i="8"/>
  <c r="L28" i="8" s="1"/>
  <c r="K33" i="7"/>
  <c r="N55" i="4"/>
  <c r="N51" i="4"/>
  <c r="L13" i="7"/>
  <c r="O50" i="4"/>
  <c r="O58" i="4" s="1"/>
  <c r="AC16" i="6"/>
  <c r="AC10" i="6"/>
  <c r="AC21" i="6"/>
  <c r="AC22" i="6"/>
  <c r="AC30" i="6"/>
  <c r="AC19" i="6"/>
  <c r="AC18" i="6"/>
  <c r="AC8" i="6"/>
  <c r="AC31" i="6"/>
  <c r="AC15" i="6"/>
  <c r="AC29" i="6"/>
  <c r="AC20" i="6"/>
  <c r="AC9" i="6"/>
  <c r="AD5" i="6"/>
  <c r="AC41" i="6"/>
  <c r="AC12" i="6"/>
  <c r="AC13" i="6"/>
  <c r="AC17" i="6"/>
  <c r="AC40" i="6"/>
  <c r="AC42" i="6"/>
  <c r="AC14" i="6"/>
  <c r="AC11" i="6"/>
  <c r="AC43" i="6"/>
  <c r="AC28" i="6"/>
  <c r="AB45" i="6"/>
  <c r="K26" i="8"/>
  <c r="K23" i="8"/>
  <c r="O48" i="4"/>
  <c r="O56" i="4" s="1"/>
  <c r="L11" i="7"/>
  <c r="N57" i="4"/>
  <c r="AI9" i="12"/>
  <c r="AH14" i="12"/>
  <c r="L7" i="4"/>
  <c r="K8" i="4"/>
  <c r="X14" i="4"/>
  <c r="X25" i="4" s="1"/>
  <c r="N59" i="4" l="1"/>
  <c r="N4" i="4" s="1"/>
  <c r="AD43" i="6"/>
  <c r="AE43" i="6" s="1"/>
  <c r="AD10" i="6"/>
  <c r="AE10" i="6" s="1"/>
  <c r="AD14" i="6"/>
  <c r="AE14" i="6" s="1"/>
  <c r="AD42" i="6"/>
  <c r="AE42" i="6" s="1"/>
  <c r="AD18" i="6"/>
  <c r="AE18" i="6" s="1"/>
  <c r="AD22" i="6"/>
  <c r="AE22" i="6" s="1"/>
  <c r="AD21" i="6"/>
  <c r="AE21" i="6" s="1"/>
  <c r="AD9" i="6"/>
  <c r="AE9" i="6" s="1"/>
  <c r="AD15" i="6"/>
  <c r="AE15" i="6" s="1"/>
  <c r="AD19" i="6"/>
  <c r="AE19" i="6" s="1"/>
  <c r="AD30" i="6"/>
  <c r="AD12" i="6"/>
  <c r="AE12" i="6" s="1"/>
  <c r="AD31" i="6"/>
  <c r="AD13" i="6"/>
  <c r="AE13" i="6" s="1"/>
  <c r="AD40" i="6"/>
  <c r="AD16" i="6"/>
  <c r="AE16" i="6" s="1"/>
  <c r="AD17" i="6"/>
  <c r="AE17" i="6" s="1"/>
  <c r="AD11" i="6"/>
  <c r="AE11" i="6" s="1"/>
  <c r="AD28" i="6"/>
  <c r="AD8" i="6"/>
  <c r="AD20" i="6"/>
  <c r="AE20" i="6" s="1"/>
  <c r="AD29" i="6"/>
  <c r="AD41" i="6"/>
  <c r="AE41" i="6" s="1"/>
  <c r="M22" i="8"/>
  <c r="L34" i="7"/>
  <c r="O55" i="4"/>
  <c r="O59" i="4" s="1"/>
  <c r="O4" i="4" s="1"/>
  <c r="O51" i="4"/>
  <c r="M21" i="8"/>
  <c r="M28" i="8" s="1"/>
  <c r="L33" i="7"/>
  <c r="AC45" i="6"/>
  <c r="M11" i="7"/>
  <c r="P48" i="4"/>
  <c r="P56" i="4" s="1"/>
  <c r="R56" i="4" s="1"/>
  <c r="P47" i="4"/>
  <c r="AC34" i="6"/>
  <c r="M10" i="7"/>
  <c r="L27" i="8"/>
  <c r="L32" i="7"/>
  <c r="M20" i="8"/>
  <c r="M27" i="8" s="1"/>
  <c r="M19" i="8"/>
  <c r="L31" i="7"/>
  <c r="L14" i="7"/>
  <c r="L35" i="7" s="1"/>
  <c r="AC24" i="6"/>
  <c r="L26" i="8"/>
  <c r="L23" i="8"/>
  <c r="M13" i="7"/>
  <c r="P50" i="4"/>
  <c r="P58" i="4" s="1"/>
  <c r="K30" i="8"/>
  <c r="M12" i="7"/>
  <c r="P49" i="4"/>
  <c r="P57" i="4" s="1"/>
  <c r="R57" i="4"/>
  <c r="AJ9" i="12"/>
  <c r="P10" i="7" s="1"/>
  <c r="P14" i="7" s="1"/>
  <c r="AI14" i="12"/>
  <c r="M7" i="4"/>
  <c r="L8" i="4"/>
  <c r="D34" i="13" l="1"/>
  <c r="P17" i="7"/>
  <c r="N12" i="7"/>
  <c r="Q49" i="4"/>
  <c r="R49" i="4" s="1"/>
  <c r="AE30" i="6"/>
  <c r="AG30" i="6" s="1"/>
  <c r="M33" i="7"/>
  <c r="N21" i="8"/>
  <c r="N28" i="8" s="1"/>
  <c r="N19" i="8"/>
  <c r="M14" i="7"/>
  <c r="M35" i="7" s="1"/>
  <c r="M31" i="7"/>
  <c r="Q50" i="4"/>
  <c r="N13" i="7"/>
  <c r="AE31" i="6"/>
  <c r="AG31" i="6" s="1"/>
  <c r="U57" i="4"/>
  <c r="T57" i="4"/>
  <c r="M29" i="8"/>
  <c r="N11" i="7"/>
  <c r="Q48" i="4"/>
  <c r="R48" i="4" s="1"/>
  <c r="AE29" i="6"/>
  <c r="AG29" i="6" s="1"/>
  <c r="M34" i="7"/>
  <c r="N22" i="8"/>
  <c r="N29" i="8" s="1"/>
  <c r="AD24" i="6"/>
  <c r="AE8" i="6"/>
  <c r="AE24" i="6" s="1"/>
  <c r="T56" i="4"/>
  <c r="U56" i="4"/>
  <c r="AD45" i="6"/>
  <c r="AE40" i="6"/>
  <c r="AE45" i="6" s="1"/>
  <c r="M26" i="8"/>
  <c r="M23" i="8"/>
  <c r="Q47" i="4"/>
  <c r="AD34" i="6"/>
  <c r="N10" i="7"/>
  <c r="AE28" i="6"/>
  <c r="P55" i="4"/>
  <c r="P51" i="4"/>
  <c r="N20" i="8"/>
  <c r="N27" i="8" s="1"/>
  <c r="M32" i="7"/>
  <c r="L30" i="8"/>
  <c r="D39" i="13"/>
  <c r="E39" i="13" s="1"/>
  <c r="E34" i="13"/>
  <c r="P24" i="7"/>
  <c r="P21" i="7"/>
  <c r="Q21" i="7" s="1"/>
  <c r="Q17" i="7"/>
  <c r="S55" i="4"/>
  <c r="AJ14" i="12"/>
  <c r="N7" i="4"/>
  <c r="M8" i="4"/>
  <c r="N14" i="7" l="1"/>
  <c r="N35" i="7" s="1"/>
  <c r="O19" i="8"/>
  <c r="N31" i="7"/>
  <c r="O10" i="7"/>
  <c r="M30" i="8"/>
  <c r="N34" i="7"/>
  <c r="O22" i="8"/>
  <c r="O13" i="7"/>
  <c r="N30" i="8"/>
  <c r="P59" i="4"/>
  <c r="P4" i="4" s="1"/>
  <c r="R55" i="4"/>
  <c r="AE34" i="6"/>
  <c r="AG34" i="6" s="1"/>
  <c r="AG28" i="6"/>
  <c r="Q51" i="4"/>
  <c r="R47" i="4"/>
  <c r="R51" i="4" s="1"/>
  <c r="S49" i="4"/>
  <c r="T49" i="4"/>
  <c r="R50" i="4"/>
  <c r="S50" i="4" s="1"/>
  <c r="N26" i="8"/>
  <c r="N23" i="8"/>
  <c r="O20" i="8"/>
  <c r="O27" i="8" s="1"/>
  <c r="P27" i="8" s="1"/>
  <c r="N32" i="7"/>
  <c r="O11" i="7"/>
  <c r="N33" i="7"/>
  <c r="O21" i="8"/>
  <c r="O12" i="7"/>
  <c r="P31" i="7"/>
  <c r="P28" i="7"/>
  <c r="Q24" i="7"/>
  <c r="S59" i="4"/>
  <c r="N8" i="4"/>
  <c r="O7" i="4"/>
  <c r="O34" i="7" l="1"/>
  <c r="Q34" i="7" s="1"/>
  <c r="Q13" i="7"/>
  <c r="R13" i="7"/>
  <c r="R12" i="7"/>
  <c r="Q12" i="7"/>
  <c r="O33" i="7"/>
  <c r="Q33" i="7" s="1"/>
  <c r="T27" i="8"/>
  <c r="S27" i="8"/>
  <c r="V27" i="8"/>
  <c r="O23" i="8"/>
  <c r="O26" i="8"/>
  <c r="P19" i="8"/>
  <c r="O28" i="8"/>
  <c r="P28" i="8" s="1"/>
  <c r="P21" i="8"/>
  <c r="R59" i="4"/>
  <c r="T59" i="4" s="1"/>
  <c r="O32" i="7"/>
  <c r="Q32" i="7" s="1"/>
  <c r="R11" i="7"/>
  <c r="Q11" i="7"/>
  <c r="O29" i="8"/>
  <c r="P29" i="8" s="1"/>
  <c r="P22" i="8"/>
  <c r="Q59" i="4"/>
  <c r="Q4" i="4" s="1"/>
  <c r="S4" i="4" s="1"/>
  <c r="U4" i="4" s="1"/>
  <c r="R58" i="4"/>
  <c r="T58" i="4" s="1"/>
  <c r="T55" i="4"/>
  <c r="P20" i="8"/>
  <c r="O14" i="7"/>
  <c r="O31" i="7"/>
  <c r="Q31" i="7" s="1"/>
  <c r="R10" i="7"/>
  <c r="Q10" i="7"/>
  <c r="S51" i="4"/>
  <c r="P35" i="7"/>
  <c r="Q28" i="7"/>
  <c r="P7" i="4"/>
  <c r="O8" i="4"/>
  <c r="R14" i="7" l="1"/>
  <c r="S19" i="8"/>
  <c r="Q19" i="8"/>
  <c r="T19" i="8"/>
  <c r="V19" i="8"/>
  <c r="P23" i="8"/>
  <c r="V29" i="8"/>
  <c r="S29" i="8"/>
  <c r="T29" i="8"/>
  <c r="T21" i="8"/>
  <c r="Q21" i="8"/>
  <c r="V21" i="8"/>
  <c r="S21" i="8"/>
  <c r="O35" i="7"/>
  <c r="Q35" i="7" s="1"/>
  <c r="Q14" i="7"/>
  <c r="Q22" i="8"/>
  <c r="V22" i="8"/>
  <c r="S22" i="8"/>
  <c r="T22" i="8"/>
  <c r="Q20" i="8"/>
  <c r="S20" i="8"/>
  <c r="V20" i="8"/>
  <c r="T20" i="8"/>
  <c r="V28" i="8"/>
  <c r="S28" i="8"/>
  <c r="T28" i="8"/>
  <c r="O30" i="8"/>
  <c r="P26" i="8"/>
  <c r="Q7" i="4"/>
  <c r="Q8" i="4" s="1"/>
  <c r="P8" i="4"/>
  <c r="Q23" i="8" l="1"/>
  <c r="T23" i="8"/>
  <c r="V23" i="8"/>
  <c r="V26" i="8"/>
  <c r="P33" i="8"/>
  <c r="P30" i="8"/>
  <c r="T26" i="8"/>
  <c r="S26" i="8"/>
  <c r="S30" i="8" s="1"/>
  <c r="S34" i="8" s="1"/>
  <c r="S36" i="8" s="1"/>
  <c r="S23" i="8"/>
  <c r="T30" i="8" l="1"/>
  <c r="V30" i="8"/>
</calcChain>
</file>

<file path=xl/sharedStrings.xml><?xml version="1.0" encoding="utf-8"?>
<sst xmlns="http://schemas.openxmlformats.org/spreadsheetml/2006/main" count="724" uniqueCount="119">
  <si>
    <t xml:space="preserve">No </t>
  </si>
  <si>
    <t xml:space="preserve">Kegiatan </t>
  </si>
  <si>
    <t>Target</t>
  </si>
  <si>
    <t>Realisasi</t>
  </si>
  <si>
    <t>Unit</t>
  </si>
  <si>
    <t>%</t>
  </si>
  <si>
    <t>Akumulasi</t>
  </si>
  <si>
    <t>Capaian</t>
  </si>
  <si>
    <t>Tonase Bulanan Steel Based Product</t>
  </si>
  <si>
    <t>Ton</t>
  </si>
  <si>
    <t>Gross Profit</t>
  </si>
  <si>
    <t>KBK</t>
  </si>
  <si>
    <t>Tower</t>
  </si>
  <si>
    <t>Steel Structure</t>
  </si>
  <si>
    <t>KPI</t>
  </si>
  <si>
    <t>Pipe Bends</t>
  </si>
  <si>
    <t>KNI</t>
  </si>
  <si>
    <t>Qty (Ton)</t>
  </si>
  <si>
    <t>Revenue (Rp Milyar)</t>
  </si>
  <si>
    <t>Gross Profit (Rp Milyar)</t>
  </si>
  <si>
    <t>Modular</t>
  </si>
  <si>
    <t>KPdP</t>
  </si>
  <si>
    <t>Total</t>
  </si>
  <si>
    <t>TOTAL</t>
  </si>
  <si>
    <t>JAN</t>
  </si>
  <si>
    <t>FEB</t>
  </si>
  <si>
    <t>MAR</t>
  </si>
  <si>
    <t>APR</t>
  </si>
  <si>
    <t>MEI</t>
  </si>
  <si>
    <t>Revenue (Rp Juta)</t>
  </si>
  <si>
    <t>Gross Profit (Rp Juta)</t>
  </si>
  <si>
    <t>Gross Margin (%)</t>
  </si>
  <si>
    <t>Steel Component</t>
  </si>
  <si>
    <t>JUNI</t>
  </si>
  <si>
    <t>rumah ciajur</t>
  </si>
  <si>
    <t>layton</t>
  </si>
  <si>
    <t>ajp</t>
  </si>
  <si>
    <t>wgf</t>
  </si>
  <si>
    <t>solusi kontruksi</t>
  </si>
  <si>
    <t>Realisasi s/d juni</t>
  </si>
  <si>
    <t>kni Juli sd Des</t>
  </si>
  <si>
    <t>kpdp Juli sd Des</t>
  </si>
  <si>
    <t>tiang listrik KBK+KPI</t>
  </si>
  <si>
    <t>Lain-Lain</t>
  </si>
  <si>
    <t>JULI</t>
  </si>
  <si>
    <t>SEPT</t>
  </si>
  <si>
    <t>OKT</t>
  </si>
  <si>
    <t>NOV</t>
  </si>
  <si>
    <t>DES</t>
  </si>
  <si>
    <t>ORIGINAL TARGET</t>
  </si>
  <si>
    <t>s/d Des</t>
  </si>
  <si>
    <t>Th Lalu</t>
  </si>
  <si>
    <t>% RKAP</t>
  </si>
  <si>
    <t>% Thn Lalu</t>
  </si>
  <si>
    <t>PT KRAKATAU BAJA KONSTRUKSI</t>
  </si>
  <si>
    <t>Entitas</t>
  </si>
  <si>
    <t>KBK Induk</t>
  </si>
  <si>
    <t>Original Target (RKAP 2023 ke BUMN)</t>
  </si>
  <si>
    <t>AGUTS</t>
  </si>
  <si>
    <t>Qty</t>
  </si>
  <si>
    <t>Revenue</t>
  </si>
  <si>
    <t>Gap</t>
  </si>
  <si>
    <t>Realisasi thd Target Revisi BUMN</t>
  </si>
  <si>
    <t>Realisasi thd Target Awal</t>
  </si>
  <si>
    <t>Revise Target ke BUMN (RKAP-Perubahan)</t>
  </si>
  <si>
    <t>Tiang Listrik</t>
  </si>
  <si>
    <t>Baja Ringan</t>
  </si>
  <si>
    <t>CNP</t>
  </si>
  <si>
    <t>Welded Beam &amp; Custom Product</t>
  </si>
  <si>
    <t>Galvalum</t>
  </si>
  <si>
    <t>Cut to Length</t>
  </si>
  <si>
    <t>Jenis Produk</t>
  </si>
  <si>
    <t>Total KBK&amp;Grup</t>
  </si>
  <si>
    <t>REALISASI 2023</t>
  </si>
  <si>
    <t>REALISASI 2022</t>
  </si>
  <si>
    <t>INTERNAL/STRETCH TARGET</t>
  </si>
  <si>
    <t>Tobe Discussed</t>
  </si>
  <si>
    <t>Vs 2023</t>
  </si>
  <si>
    <t>Periode</t>
  </si>
  <si>
    <t>% Margin</t>
  </si>
  <si>
    <t>Tiang FO / Telkom</t>
  </si>
  <si>
    <t>Plat Based Component</t>
  </si>
  <si>
    <t>Floordeck</t>
  </si>
  <si>
    <t>AGS</t>
  </si>
  <si>
    <t>SEP</t>
  </si>
  <si>
    <t>AKUMULASI</t>
  </si>
  <si>
    <t>Target (Ton)</t>
  </si>
  <si>
    <t>Capaian (%)</t>
  </si>
  <si>
    <t>untuk diupdate</t>
  </si>
  <si>
    <t>Prognosa</t>
  </si>
  <si>
    <t>Tower &amp; Perkuatan</t>
  </si>
  <si>
    <t>Rumah Modular</t>
  </si>
  <si>
    <t>Steel Construction Project</t>
  </si>
  <si>
    <t>Steel Based Product</t>
  </si>
  <si>
    <t>Heavy Section Terfabrikasi</t>
  </si>
  <si>
    <t>Tiang FO</t>
  </si>
  <si>
    <t>RKAP</t>
  </si>
  <si>
    <t>HPP</t>
  </si>
  <si>
    <t>Rp Juta</t>
  </si>
  <si>
    <t>Prognosa KBK Induk :</t>
  </si>
  <si>
    <t>TOTAL PROGNOSA</t>
  </si>
  <si>
    <t>Tonase</t>
  </si>
  <si>
    <t>1. KBK</t>
  </si>
  <si>
    <t>2. KPI</t>
  </si>
  <si>
    <t>Pipa Seamless</t>
  </si>
  <si>
    <t>3. KNI</t>
  </si>
  <si>
    <t>4. KPdP</t>
  </si>
  <si>
    <t>Grand Total</t>
  </si>
  <si>
    <t>Lain-Lain KNI</t>
  </si>
  <si>
    <t>JENIS PRODUK</t>
  </si>
  <si>
    <t>REKAP HILIRISASI 2023 sd 2024</t>
  </si>
  <si>
    <t>Th 2023</t>
  </si>
  <si>
    <t>Th 2024</t>
  </si>
  <si>
    <t>Th 2022</t>
  </si>
  <si>
    <t>REALISASI HILIRISASI TAHUN 2025</t>
  </si>
  <si>
    <t>TARGET VOLUME STEEL BASED PRODUCT 2025</t>
  </si>
  <si>
    <t>Seamless Pipe</t>
  </si>
  <si>
    <t>Harga Jual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</si>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</sst>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_-* #,##0.00_-;\-* #,##0.00_-;_-* &quot;-&quot;??_-;_-@_-"/>
    <numFmt numFmtId="167" formatCode="0.0%"/>
    <numFmt numFmtId="168" formatCode="[$-409]mmm\-yy;@"/>
    <numFmt numFmtId="169" formatCode="_-* #,##0.0_-;\-* #,##0.0_-;_-* &quot;-&quot;_-;_-@_-"/>
    <numFmt numFmtId="170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000000"/>
      <name val="Arial"/>
      <family val="2"/>
    </font>
    <font>
      <b/>
      <sz val="10.5"/>
      <color theme="0"/>
      <name val="Arial"/>
      <family val="2"/>
    </font>
    <font>
      <sz val="10.5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.5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1"/>
      <color theme="1"/>
      <name val="Trebuchet MS"/>
      <family val="2"/>
    </font>
    <font>
      <b/>
      <i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Lucida Sans Unicode"/>
      <family val="2"/>
    </font>
    <font>
      <sz val="14"/>
      <color theme="1"/>
      <name val="Lucida Sans Unicode"/>
      <family val="2"/>
    </font>
    <font>
      <b/>
      <sz val="11"/>
      <color theme="1"/>
      <name val="Lucida Sans Unicode"/>
      <family val="2"/>
    </font>
    <font>
      <b/>
      <sz val="11"/>
      <color theme="0"/>
      <name val="Lucida Sans Unicode"/>
      <family val="2"/>
    </font>
    <font>
      <b/>
      <sz val="13"/>
      <color theme="0"/>
      <name val="Lucida Sans Unicode"/>
      <family val="2"/>
    </font>
    <font>
      <b/>
      <sz val="12"/>
      <color theme="1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u/>
      <sz val="14"/>
      <color theme="1"/>
      <name val="Arial"/>
      <family val="2"/>
    </font>
    <font>
      <b/>
      <sz val="11"/>
      <color theme="1"/>
      <name val="Trebuchet MS"/>
      <family val="2"/>
    </font>
    <font>
      <b/>
      <sz val="14"/>
      <color theme="1"/>
      <name val="Trebuchet MS"/>
      <family val="2"/>
    </font>
    <font>
      <sz val="12"/>
      <color theme="1"/>
      <name val="Lucida Sans Unicode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1" xfId="0" applyFont="1" applyBorder="1" applyAlignment="1">
      <alignment horizont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 readingOrder="1"/>
    </xf>
    <xf numFmtId="0" fontId="3" fillId="2" borderId="1" xfId="0" applyFont="1" applyFill="1" applyBorder="1" applyAlignment="1">
      <alignment horizontal="center" vertical="center" readingOrder="1"/>
    </xf>
    <xf numFmtId="17" fontId="3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9" fontId="0" fillId="0" borderId="0" xfId="0" applyNumberFormat="1"/>
    <xf numFmtId="10" fontId="0" fillId="0" borderId="0" xfId="0" applyNumberFormat="1"/>
    <xf numFmtId="43" fontId="0" fillId="0" borderId="0" xfId="0" applyNumberFormat="1"/>
    <xf numFmtId="164" fontId="4" fillId="0" borderId="1" xfId="0" applyNumberFormat="1" applyFont="1" applyBorder="1"/>
    <xf numFmtId="164" fontId="4" fillId="0" borderId="1" xfId="1" applyFont="1" applyBorder="1"/>
    <xf numFmtId="165" fontId="0" fillId="0" borderId="0" xfId="2" applyNumberFormat="1" applyFont="1"/>
    <xf numFmtId="165" fontId="5" fillId="0" borderId="0" xfId="2" applyNumberFormat="1" applyFont="1"/>
    <xf numFmtId="164" fontId="4" fillId="0" borderId="1" xfId="1" applyFont="1" applyFill="1" applyBorder="1"/>
    <xf numFmtId="164" fontId="4" fillId="0" borderId="0" xfId="0" applyNumberFormat="1" applyFont="1"/>
    <xf numFmtId="164" fontId="4" fillId="0" borderId="1" xfId="2" applyNumberFormat="1" applyFont="1" applyFill="1" applyBorder="1"/>
    <xf numFmtId="0" fontId="6" fillId="0" borderId="0" xfId="0" applyFont="1"/>
    <xf numFmtId="17" fontId="6" fillId="0" borderId="0" xfId="0" applyNumberFormat="1" applyFont="1" applyAlignment="1">
      <alignment horizontal="center"/>
    </xf>
    <xf numFmtId="165" fontId="4" fillId="0" borderId="0" xfId="2" applyNumberFormat="1" applyFont="1"/>
    <xf numFmtId="165" fontId="6" fillId="0" borderId="0" xfId="2" applyNumberFormat="1" applyFont="1"/>
    <xf numFmtId="165" fontId="4" fillId="0" borderId="0" xfId="0" applyNumberFormat="1" applyFont="1"/>
    <xf numFmtId="165" fontId="4" fillId="4" borderId="0" xfId="2" applyNumberFormat="1" applyFont="1" applyFill="1"/>
    <xf numFmtId="0" fontId="7" fillId="0" borderId="0" xfId="0" applyFont="1"/>
    <xf numFmtId="165" fontId="5" fillId="0" borderId="0" xfId="2" applyNumberFormat="1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165" fontId="5" fillId="3" borderId="2" xfId="2" applyNumberFormat="1" applyFont="1" applyFill="1" applyBorder="1"/>
    <xf numFmtId="167" fontId="0" fillId="0" borderId="0" xfId="0" applyNumberFormat="1"/>
    <xf numFmtId="167" fontId="0" fillId="0" borderId="0" xfId="2" applyNumberFormat="1" applyFont="1"/>
    <xf numFmtId="167" fontId="5" fillId="3" borderId="2" xfId="2" applyNumberFormat="1" applyFont="1" applyFill="1" applyBorder="1"/>
    <xf numFmtId="0" fontId="8" fillId="5" borderId="0" xfId="0" applyFont="1" applyFill="1"/>
    <xf numFmtId="0" fontId="9" fillId="5" borderId="0" xfId="0" applyFont="1" applyFill="1" applyAlignment="1">
      <alignment horizontal="center" vertical="center" wrapText="1"/>
    </xf>
    <xf numFmtId="165" fontId="6" fillId="0" borderId="0" xfId="2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9" fontId="0" fillId="0" borderId="0" xfId="2" applyNumberFormat="1" applyFont="1"/>
    <xf numFmtId="9" fontId="5" fillId="0" borderId="0" xfId="2" applyNumberFormat="1" applyFont="1"/>
    <xf numFmtId="0" fontId="10" fillId="5" borderId="0" xfId="0" applyFont="1" applyFill="1" applyAlignment="1">
      <alignment horizontal="center"/>
    </xf>
    <xf numFmtId="165" fontId="10" fillId="5" borderId="0" xfId="2" applyNumberFormat="1" applyFont="1" applyFill="1"/>
    <xf numFmtId="0" fontId="10" fillId="5" borderId="0" xfId="0" applyFont="1" applyFill="1"/>
    <xf numFmtId="9" fontId="10" fillId="5" borderId="0" xfId="2" applyNumberFormat="1" applyFont="1" applyFill="1"/>
    <xf numFmtId="9" fontId="10" fillId="5" borderId="0" xfId="0" applyNumberFormat="1" applyFont="1" applyFill="1"/>
    <xf numFmtId="43" fontId="0" fillId="0" borderId="0" xfId="2" applyFont="1"/>
    <xf numFmtId="167" fontId="5" fillId="3" borderId="0" xfId="2" applyNumberFormat="1" applyFont="1" applyFill="1" applyBorder="1"/>
    <xf numFmtId="9" fontId="5" fillId="3" borderId="2" xfId="2" applyNumberFormat="1" applyFont="1" applyFill="1" applyBorder="1"/>
    <xf numFmtId="0" fontId="13" fillId="0" borderId="0" xfId="0" applyFont="1"/>
    <xf numFmtId="0" fontId="11" fillId="5" borderId="0" xfId="0" applyFont="1" applyFill="1"/>
    <xf numFmtId="168" fontId="10" fillId="5" borderId="0" xfId="0" applyNumberFormat="1" applyFont="1" applyFill="1" applyAlignment="1">
      <alignment horizontal="center"/>
    </xf>
    <xf numFmtId="0" fontId="14" fillId="5" borderId="0" xfId="0" applyFont="1" applyFill="1"/>
    <xf numFmtId="0" fontId="15" fillId="0" borderId="0" xfId="0" applyFont="1"/>
    <xf numFmtId="0" fontId="16" fillId="0" borderId="0" xfId="0" applyFont="1"/>
    <xf numFmtId="0" fontId="14" fillId="5" borderId="0" xfId="0" applyFont="1" applyFill="1" applyAlignment="1">
      <alignment horizontal="center"/>
    </xf>
    <xf numFmtId="10" fontId="0" fillId="0" borderId="0" xfId="2" applyNumberFormat="1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8" fillId="0" borderId="0" xfId="0" applyFont="1" applyAlignment="1">
      <alignment horizontal="center"/>
    </xf>
    <xf numFmtId="165" fontId="18" fillId="0" borderId="0" xfId="2" applyNumberFormat="1" applyFont="1"/>
    <xf numFmtId="167" fontId="18" fillId="0" borderId="0" xfId="0" applyNumberFormat="1" applyFont="1"/>
    <xf numFmtId="165" fontId="18" fillId="0" borderId="0" xfId="2" applyNumberFormat="1" applyFont="1" applyAlignment="1">
      <alignment horizontal="center"/>
    </xf>
    <xf numFmtId="165" fontId="20" fillId="0" borderId="0" xfId="2" applyNumberFormat="1" applyFont="1"/>
    <xf numFmtId="169" fontId="4" fillId="0" borderId="1" xfId="1" applyNumberFormat="1" applyFont="1" applyBorder="1"/>
    <xf numFmtId="0" fontId="17" fillId="0" borderId="0" xfId="0" applyFont="1"/>
    <xf numFmtId="0" fontId="22" fillId="5" borderId="0" xfId="0" applyFont="1" applyFill="1"/>
    <xf numFmtId="43" fontId="12" fillId="5" borderId="0" xfId="2" applyFont="1" applyFill="1"/>
    <xf numFmtId="0" fontId="21" fillId="5" borderId="0" xfId="0" applyFont="1" applyFill="1" applyAlignment="1">
      <alignment horizontal="center" vertical="center" wrapText="1"/>
    </xf>
    <xf numFmtId="165" fontId="12" fillId="5" borderId="0" xfId="2" applyNumberFormat="1" applyFont="1" applyFill="1"/>
    <xf numFmtId="0" fontId="21" fillId="5" borderId="0" xfId="0" applyFont="1" applyFill="1" applyAlignment="1">
      <alignment horizontal="center" vertical="center"/>
    </xf>
    <xf numFmtId="9" fontId="12" fillId="5" borderId="0" xfId="2" applyNumberFormat="1" applyFont="1" applyFill="1"/>
    <xf numFmtId="165" fontId="18" fillId="6" borderId="0" xfId="2" applyNumberFormat="1" applyFont="1" applyFill="1"/>
    <xf numFmtId="165" fontId="23" fillId="0" borderId="0" xfId="2" applyNumberFormat="1" applyFont="1"/>
    <xf numFmtId="0" fontId="23" fillId="0" borderId="0" xfId="0" applyFont="1"/>
    <xf numFmtId="0" fontId="23" fillId="0" borderId="0" xfId="0" applyFont="1" applyAlignment="1">
      <alignment horizontal="center"/>
    </xf>
    <xf numFmtId="167" fontId="4" fillId="0" borderId="0" xfId="0" applyNumberFormat="1" applyFont="1"/>
    <xf numFmtId="0" fontId="24" fillId="5" borderId="0" xfId="0" applyFont="1" applyFill="1"/>
    <xf numFmtId="0" fontId="24" fillId="5" borderId="0" xfId="0" applyFont="1" applyFill="1" applyAlignment="1">
      <alignment horizontal="center"/>
    </xf>
    <xf numFmtId="165" fontId="24" fillId="5" borderId="0" xfId="2" applyNumberFormat="1" applyFont="1" applyFill="1"/>
    <xf numFmtId="167" fontId="24" fillId="5" borderId="0" xfId="0" applyNumberFormat="1" applyFont="1" applyFill="1"/>
    <xf numFmtId="17" fontId="24" fillId="5" borderId="0" xfId="0" applyNumberFormat="1" applyFont="1" applyFill="1"/>
    <xf numFmtId="0" fontId="25" fillId="5" borderId="0" xfId="0" applyFont="1" applyFill="1" applyAlignment="1">
      <alignment horizontal="center"/>
    </xf>
    <xf numFmtId="9" fontId="4" fillId="0" borderId="0" xfId="0" applyNumberFormat="1" applyFont="1"/>
    <xf numFmtId="0" fontId="26" fillId="0" borderId="0" xfId="0" applyFont="1"/>
    <xf numFmtId="170" fontId="13" fillId="0" borderId="0" xfId="2" applyNumberFormat="1" applyFont="1"/>
    <xf numFmtId="165" fontId="13" fillId="0" borderId="0" xfId="2" applyNumberFormat="1" applyFont="1"/>
    <xf numFmtId="0" fontId="27" fillId="0" borderId="0" xfId="0" applyFont="1"/>
    <xf numFmtId="165" fontId="27" fillId="0" borderId="0" xfId="2" applyNumberFormat="1" applyFont="1"/>
    <xf numFmtId="0" fontId="27" fillId="3" borderId="0" xfId="0" applyFont="1" applyFill="1"/>
    <xf numFmtId="0" fontId="13" fillId="3" borderId="0" xfId="0" applyFont="1" applyFill="1"/>
    <xf numFmtId="165" fontId="27" fillId="3" borderId="0" xfId="2" applyNumberFormat="1" applyFont="1" applyFill="1"/>
    <xf numFmtId="170" fontId="27" fillId="3" borderId="0" xfId="2" applyNumberFormat="1" applyFont="1" applyFill="1"/>
    <xf numFmtId="0" fontId="28" fillId="0" borderId="0" xfId="0" applyFont="1"/>
    <xf numFmtId="0" fontId="27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vertical="center" wrapText="1"/>
    </xf>
    <xf numFmtId="0" fontId="13" fillId="3" borderId="0" xfId="0" applyFont="1" applyFill="1" applyAlignment="1">
      <alignment horizontal="center"/>
    </xf>
    <xf numFmtId="165" fontId="27" fillId="3" borderId="0" xfId="2" applyNumberFormat="1" applyFont="1" applyFill="1" applyAlignment="1">
      <alignment horizontal="center"/>
    </xf>
    <xf numFmtId="165" fontId="20" fillId="0" borderId="0" xfId="0" applyNumberFormat="1" applyFont="1"/>
    <xf numFmtId="167" fontId="20" fillId="0" borderId="0" xfId="0" applyNumberFormat="1" applyFont="1"/>
    <xf numFmtId="9" fontId="18" fillId="0" borderId="0" xfId="2" applyNumberFormat="1" applyFont="1"/>
    <xf numFmtId="9" fontId="18" fillId="0" borderId="0" xfId="0" applyNumberFormat="1" applyFont="1"/>
    <xf numFmtId="0" fontId="18" fillId="6" borderId="0" xfId="0" applyFont="1" applyFill="1"/>
    <xf numFmtId="0" fontId="9" fillId="5" borderId="0" xfId="0" applyFont="1" applyFill="1" applyAlignment="1">
      <alignment horizontal="center"/>
    </xf>
    <xf numFmtId="165" fontId="9" fillId="5" borderId="0" xfId="2" applyNumberFormat="1" applyFont="1" applyFill="1" applyAlignment="1">
      <alignment horizontal="center"/>
    </xf>
    <xf numFmtId="9" fontId="9" fillId="5" borderId="0" xfId="2" applyNumberFormat="1" applyFont="1" applyFill="1" applyAlignment="1">
      <alignment horizontal="right"/>
    </xf>
    <xf numFmtId="0" fontId="18" fillId="6" borderId="0" xfId="0" applyFont="1" applyFill="1" applyAlignment="1">
      <alignment horizontal="center"/>
    </xf>
    <xf numFmtId="167" fontId="18" fillId="6" borderId="0" xfId="0" applyNumberFormat="1" applyFont="1" applyFill="1"/>
    <xf numFmtId="0" fontId="29" fillId="0" borderId="0" xfId="0" applyFont="1"/>
    <xf numFmtId="0" fontId="4" fillId="0" borderId="0" xfId="0" applyFont="1" applyAlignment="1">
      <alignment horizontal="center"/>
    </xf>
    <xf numFmtId="0" fontId="27" fillId="3" borderId="0" xfId="0" applyFont="1" applyFill="1" applyAlignment="1">
      <alignment horizontal="center" vertical="center" wrapText="1"/>
    </xf>
  </cellXfs>
  <cellStyles count="4">
    <cellStyle name="Comma" xfId="2" builtinId="3"/>
    <cellStyle name="Comma [0]" xfId="1" builtinId="6"/>
    <cellStyle name="Comma 2" xfId="3" xr:uid="{5038583F-D692-44CD-98D2-9681C425F6E8}"/>
    <cellStyle name="Normal" xfId="0" builtinId="0"/>
  </cellStyles>
  <dxfs count="0"/>
  <tableStyles count="1" defaultTableStyle="TableStyleMedium9" defaultPivotStyle="PivotStyleLight16">
    <tableStyle name="Invisible" pivot="0" table="0" count="0" xr9:uid="{3B83A530-F869-468C-8B4F-679C33707B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635719759732898E-2"/>
          <c:y val="3.3964478081926909E-2"/>
          <c:w val="0.92822861303657322"/>
          <c:h val="0.83095080518189102"/>
        </c:manualLayout>
      </c:layout>
      <c:lineChart>
        <c:grouping val="standard"/>
        <c:varyColors val="0"/>
        <c:ser>
          <c:idx val="0"/>
          <c:order val="0"/>
          <c:tx>
            <c:v>Target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Lbls>
            <c:dLbl>
              <c:idx val="11"/>
              <c:layout>
                <c:manualLayout>
                  <c:x val="-1.5128711372992246E-2"/>
                  <c:y val="1.639695617079471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600" b="1"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5FA-45B6-B0C6-74BAA22706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'Steel Based Product'!$F$2:$Q$2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'Steel Based Product'!$F$6:$Q$6</c:f>
              <c:numCache>
                <c:formatCode>_-* #,##0_-;\-* #,##0_-;_-* "-"_-;_-@_-</c:formatCode>
                <c:ptCount val="12"/>
                <c:pt idx="0">
                  <c:v>2978</c:v>
                </c:pt>
                <c:pt idx="1">
                  <c:v>6233</c:v>
                </c:pt>
                <c:pt idx="2">
                  <c:v>8288</c:v>
                </c:pt>
                <c:pt idx="3">
                  <c:v>10318</c:v>
                </c:pt>
                <c:pt idx="4">
                  <c:v>12896</c:v>
                </c:pt>
                <c:pt idx="5">
                  <c:v>16376</c:v>
                </c:pt>
                <c:pt idx="6">
                  <c:v>19981</c:v>
                </c:pt>
                <c:pt idx="7">
                  <c:v>23611</c:v>
                </c:pt>
                <c:pt idx="8">
                  <c:v>27241</c:v>
                </c:pt>
                <c:pt idx="9">
                  <c:v>30871</c:v>
                </c:pt>
                <c:pt idx="10">
                  <c:v>34501</c:v>
                </c:pt>
                <c:pt idx="11">
                  <c:v>36804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EA-43E7-96BC-C16A740863E7}"/>
            </c:ext>
          </c:extLst>
        </c:ser>
        <c:ser>
          <c:idx val="1"/>
          <c:order val="1"/>
          <c:tx>
            <c:v>Realisasi &amp; Prognosa</c:v>
          </c:tx>
          <c:spPr>
            <a:ln>
              <a:solidFill>
                <a:srgbClr val="002060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dPt>
            <c:idx val="1"/>
            <c:bubble3D val="0"/>
            <c:spPr>
              <a:ln>
                <a:solidFill>
                  <a:srgbClr val="00206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FCD8-41FA-9CB8-5961C6EE404D}"/>
              </c:ext>
            </c:extLst>
          </c:dPt>
          <c:dPt>
            <c:idx val="2"/>
            <c:bubble3D val="0"/>
            <c:spPr>
              <a:ln>
                <a:solidFill>
                  <a:srgbClr val="00206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24D-4820-9DE0-416B92B7E62A}"/>
              </c:ext>
            </c:extLst>
          </c:dPt>
          <c:dPt>
            <c:idx val="3"/>
            <c:bubble3D val="0"/>
            <c:spPr>
              <a:ln>
                <a:solidFill>
                  <a:srgbClr val="00206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510-41F7-BB3C-D77ABCAD603A}"/>
              </c:ext>
            </c:extLst>
          </c:dPt>
          <c:dPt>
            <c:idx val="4"/>
            <c:bubble3D val="0"/>
            <c:spPr>
              <a:ln>
                <a:solidFill>
                  <a:srgbClr val="00206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DB6-4BBD-8D06-D76F663A0408}"/>
              </c:ext>
            </c:extLst>
          </c:dPt>
          <c:dPt>
            <c:idx val="5"/>
            <c:bubble3D val="0"/>
            <c:spPr>
              <a:ln>
                <a:solidFill>
                  <a:srgbClr val="00206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9FF-4A0C-88F1-312575CD3F3D}"/>
              </c:ext>
            </c:extLst>
          </c:dPt>
          <c:dPt>
            <c:idx val="6"/>
            <c:bubble3D val="0"/>
            <c:spPr>
              <a:ln>
                <a:solidFill>
                  <a:srgbClr val="00206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411C-46ED-ADFB-FB521FD2C23C}"/>
              </c:ext>
            </c:extLst>
          </c:dPt>
          <c:dPt>
            <c:idx val="7"/>
            <c:bubble3D val="0"/>
            <c:spPr>
              <a:ln>
                <a:solidFill>
                  <a:srgbClr val="00206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A38D-4BA6-9198-3DB0BD34FAF0}"/>
              </c:ext>
            </c:extLst>
          </c:dPt>
          <c:dPt>
            <c:idx val="8"/>
            <c:bubble3D val="0"/>
            <c:spPr>
              <a:ln>
                <a:solidFill>
                  <a:srgbClr val="00206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6C69-4AF5-8EDF-03CF32915850}"/>
              </c:ext>
            </c:extLst>
          </c:dPt>
          <c:dPt>
            <c:idx val="9"/>
            <c:bubble3D val="0"/>
            <c:spPr>
              <a:ln>
                <a:solidFill>
                  <a:srgbClr val="00206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BFD-48DF-B35C-2DA8C2823104}"/>
              </c:ext>
            </c:extLst>
          </c:dPt>
          <c:dPt>
            <c:idx val="10"/>
            <c:bubble3D val="0"/>
            <c:spPr>
              <a:ln>
                <a:solidFill>
                  <a:srgbClr val="00206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D1B-4E95-BC72-7A959150A8CA}"/>
              </c:ext>
            </c:extLst>
          </c:dPt>
          <c:dPt>
            <c:idx val="11"/>
            <c:bubble3D val="0"/>
            <c:spPr>
              <a:ln>
                <a:solidFill>
                  <a:srgbClr val="00206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2863-40AE-8150-55FC7E9FF830}"/>
              </c:ext>
            </c:extLst>
          </c:dPt>
          <c:dLbls>
            <c:dLbl>
              <c:idx val="2"/>
              <c:layout>
                <c:manualLayout>
                  <c:x val="-3.9794572534480273E-2"/>
                  <c:y val="3.89246549596423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4D-4820-9DE0-416B92B7E62A}"/>
                </c:ext>
              </c:extLst>
            </c:dLbl>
            <c:dLbl>
              <c:idx val="3"/>
              <c:layout>
                <c:manualLayout>
                  <c:x val="-2.5368589554126918E-2"/>
                  <c:y val="3.05836574682903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510-41F7-BB3C-D77ABCAD603A}"/>
                </c:ext>
              </c:extLst>
            </c:dLbl>
            <c:dLbl>
              <c:idx val="4"/>
              <c:layout>
                <c:manualLayout>
                  <c:x val="-4.3398065368873251E-2"/>
                  <c:y val="-3.05836574682905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B6-4BBD-8D06-D76F663A0408}"/>
                </c:ext>
              </c:extLst>
            </c:dLbl>
            <c:dLbl>
              <c:idx val="5"/>
              <c:layout>
                <c:manualLayout>
                  <c:x val="-5.5409708150183368E-2"/>
                  <c:y val="-1.66819949827039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9FF-4A0C-88F1-312575CD3F3D}"/>
                </c:ext>
              </c:extLst>
            </c:dLbl>
            <c:dLbl>
              <c:idx val="6"/>
              <c:layout>
                <c:manualLayout>
                  <c:x val="-6.1284986320406923E-2"/>
                  <c:y val="-3.02628360891577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11C-46ED-ADFB-FB521FD2C23C}"/>
                </c:ext>
              </c:extLst>
            </c:dLbl>
            <c:dLbl>
              <c:idx val="8"/>
              <c:layout>
                <c:manualLayout>
                  <c:x val="-7.000225400113598E-2"/>
                  <c:y val="-3.57651621758389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C69-4AF5-8EDF-03CF32915850}"/>
                </c:ext>
              </c:extLst>
            </c:dLbl>
            <c:dLbl>
              <c:idx val="10"/>
              <c:layout>
                <c:manualLayout>
                  <c:x val="-6.5770206512107077E-2"/>
                  <c:y val="-2.18849206434683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D1B-4E95-BC72-7A959150A8CA}"/>
                </c:ext>
              </c:extLst>
            </c:dLbl>
            <c:dLbl>
              <c:idx val="11"/>
              <c:layout>
                <c:manualLayout>
                  <c:x val="-5.7484673899793691E-2"/>
                  <c:y val="-2.46205357239019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600" b="1"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63-40AE-8150-55FC7E9FF8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'Steel Based Product'!$F$2:$Q$2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'Steel Based Product'!$F$7:$Q$7</c:f>
              <c:numCache>
                <c:formatCode>_-* #,##0_-;\-* #,##0_-;_-* "-"_-;_-@_-</c:formatCode>
                <c:ptCount val="12"/>
                <c:pt idx="0">
                  <c:v>551.86478878878836</c:v>
                </c:pt>
                <c:pt idx="1">
                  <c:v>2974.9166858407452</c:v>
                </c:pt>
                <c:pt idx="2">
                  <c:v>4389.3004061452029</c:v>
                </c:pt>
                <c:pt idx="3">
                  <c:v>4865.3644528639525</c:v>
                </c:pt>
                <c:pt idx="4">
                  <c:v>7354.0244537889521</c:v>
                </c:pt>
                <c:pt idx="5">
                  <c:v>8391.1880664441815</c:v>
                </c:pt>
                <c:pt idx="6">
                  <c:v>9533.1302370765789</c:v>
                </c:pt>
                <c:pt idx="7">
                  <c:v>11779.191390470576</c:v>
                </c:pt>
                <c:pt idx="8">
                  <c:v>13047.045834970577</c:v>
                </c:pt>
                <c:pt idx="9">
                  <c:v>17561.873837149149</c:v>
                </c:pt>
                <c:pt idx="10">
                  <c:v>20910.598238639755</c:v>
                </c:pt>
                <c:pt idx="11">
                  <c:v>25402.838685639756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9EA-43E7-96BC-C16A74086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759744"/>
        <c:axId val="133761664"/>
      </c:lineChart>
      <c:dateAx>
        <c:axId val="1337597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3761664"/>
        <c:crosses val="autoZero"/>
        <c:auto val="1"/>
        <c:lblOffset val="100"/>
        <c:baseTimeUnit val="months"/>
      </c:dateAx>
      <c:valAx>
        <c:axId val="133761664"/>
        <c:scaling>
          <c:orientation val="minMax"/>
          <c:min val="0"/>
        </c:scaling>
        <c:delete val="1"/>
        <c:axPos val="l"/>
        <c:numFmt formatCode="_-* #,##0_-;\-* #,##0_-;_-* &quot;-&quot;_-;_-@_-" sourceLinked="1"/>
        <c:majorTickMark val="out"/>
        <c:minorTickMark val="none"/>
        <c:tickLblPos val="nextTo"/>
        <c:crossAx val="133759744"/>
        <c:crosses val="autoZero"/>
        <c:crossBetween val="between"/>
        <c:majorUnit val="5000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Realisasi Volume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 AP'!$B$10:$B$13</c:f>
              <c:strCache>
                <c:ptCount val="3"/>
                <c:pt idx="0">
                  <c:v>KBK</c:v>
                </c:pt>
                <c:pt idx="1">
                  <c:v>KPI</c:v>
                </c:pt>
                <c:pt idx="2">
                  <c:v>KNI</c:v>
                </c:pt>
              </c:strCache>
            </c:strRef>
          </c:cat>
          <c:val>
            <c:numRef>
              <c:f>'Per AP'!$O$10:$O$13</c:f>
              <c:numCache>
                <c:formatCode>_(* #,##0_);_(* \(#,##0\);_(* "-"??_);_(@_)</c:formatCode>
                <c:ptCount val="3"/>
                <c:pt idx="0">
                  <c:v>5428.2943937401787</c:v>
                </c:pt>
                <c:pt idx="1">
                  <c:v>14083.940000000002</c:v>
                </c:pt>
                <c:pt idx="2">
                  <c:v>5890.6042918995772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6-48A6-B2B4-8CFF6B312D6B}"/>
            </c:ext>
          </c:extLst>
        </c:ser>
        <c:ser>
          <c:idx val="1"/>
          <c:order val="1"/>
          <c:tx>
            <c:v>Target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'Per AP'!$P$10:$P$13</c:f>
              <c:numCache>
                <c:formatCode>_(* #,##0_);_(* \(#,##0\);_(* "-"??_);_(@_)</c:formatCode>
                <c:ptCount val="3"/>
                <c:pt idx="0">
                  <c:v>25000</c:v>
                </c:pt>
                <c:pt idx="1">
                  <c:v>6804</c:v>
                </c:pt>
                <c:pt idx="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6-48A6-B2B4-8CFF6B312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94272"/>
        <c:axId val="88471232"/>
      </c:barChart>
      <c:catAx>
        <c:axId val="8849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71232"/>
        <c:crosses val="autoZero"/>
        <c:auto val="1"/>
        <c:lblAlgn val="ctr"/>
        <c:lblOffset val="100"/>
        <c:noMultiLvlLbl val="0"/>
      </c:catAx>
      <c:valAx>
        <c:axId val="8847123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8849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Realisasi Volume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 AP#2'!$C$19:$C$22</c:f>
              <c:strCache>
                <c:ptCount val="4"/>
                <c:pt idx="0">
                  <c:v>KBK</c:v>
                </c:pt>
                <c:pt idx="1">
                  <c:v>KPI</c:v>
                </c:pt>
                <c:pt idx="2">
                  <c:v>KNI</c:v>
                </c:pt>
                <c:pt idx="3">
                  <c:v>KPdP</c:v>
                </c:pt>
              </c:strCache>
            </c:strRef>
          </c:cat>
          <c:val>
            <c:numRef>
              <c:f>'Per AP#2'!$P$19:$P$22</c:f>
              <c:numCache>
                <c:formatCode>_(* #,##0_);_(* \(#,##0\);_(* "-"??_);_(@_)</c:formatCode>
                <c:ptCount val="4"/>
                <c:pt idx="0">
                  <c:v>5428.2943937401787</c:v>
                </c:pt>
                <c:pt idx="1">
                  <c:v>14083.940000000002</c:v>
                </c:pt>
                <c:pt idx="2">
                  <c:v>5890.6042918995772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8-4162-A0CB-D3DEC3938EEC}"/>
            </c:ext>
          </c:extLst>
        </c:ser>
        <c:ser>
          <c:idx val="1"/>
          <c:order val="1"/>
          <c:tx>
            <c:v>Target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 AP#2'!$C$19:$C$22</c:f>
              <c:strCache>
                <c:ptCount val="4"/>
                <c:pt idx="0">
                  <c:v>KBK</c:v>
                </c:pt>
                <c:pt idx="1">
                  <c:v>KPI</c:v>
                </c:pt>
                <c:pt idx="2">
                  <c:v>KNI</c:v>
                </c:pt>
                <c:pt idx="3">
                  <c:v>KPdP</c:v>
                </c:pt>
              </c:strCache>
            </c:strRef>
          </c:cat>
          <c:val>
            <c:numRef>
              <c:f>'Per AP#2'!$P$5:$P$8</c:f>
              <c:numCache>
                <c:formatCode>_(* #,##0_);_(* \(#,##0\);_(* "-"??_);_(@_)</c:formatCode>
                <c:ptCount val="4"/>
                <c:pt idx="0">
                  <c:v>22556.78</c:v>
                </c:pt>
                <c:pt idx="1">
                  <c:v>6000</c:v>
                </c:pt>
                <c:pt idx="2">
                  <c:v>5922</c:v>
                </c:pt>
                <c:pt idx="3">
                  <c:v>1892.22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88-4162-A0CB-D3DEC393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94272"/>
        <c:axId val="88471232"/>
      </c:barChart>
      <c:catAx>
        <c:axId val="8849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71232"/>
        <c:crosses val="autoZero"/>
        <c:auto val="1"/>
        <c:lblAlgn val="ctr"/>
        <c:lblOffset val="100"/>
        <c:noMultiLvlLbl val="0"/>
      </c:catAx>
      <c:valAx>
        <c:axId val="8847123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8849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93662</xdr:colOff>
      <xdr:row>14</xdr:row>
      <xdr:rowOff>114299</xdr:rowOff>
    </xdr:from>
    <xdr:to>
      <xdr:col>16</xdr:col>
      <xdr:colOff>531017</xdr:colOff>
      <xdr:row>41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198210</xdr:colOff>
      <xdr:row>13</xdr:row>
      <xdr:rowOff>52162</xdr:rowOff>
    </xdr:from>
    <xdr:to>
      <xdr:col>27</xdr:col>
      <xdr:colOff>245833</xdr:colOff>
      <xdr:row>32</xdr:row>
      <xdr:rowOff>127907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4C5C37-CF57-93D7-A7B0-EAD6B83AB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18</xdr:col>
      <xdr:colOff>85810</xdr:colOff>
      <xdr:row>35</xdr:row>
      <xdr:rowOff>23823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FC3596-4592-5FA5-6D1C-48DB30D84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3" y="4419600"/>
          <a:ext cx="11501522" cy="14716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17</xdr:col>
      <xdr:colOff>866857</xdr:colOff>
      <xdr:row>49</xdr:row>
      <xdr:rowOff>104793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F26A7F-9475-AA6A-3929-B03D2F101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63" y="6048375"/>
          <a:ext cx="11277682" cy="24574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36</xdr:row>
      <xdr:rowOff>0</xdr:rowOff>
    </xdr:from>
    <xdr:to>
      <xdr:col>17</xdr:col>
      <xdr:colOff>0</xdr:colOff>
      <xdr:row>55</xdr:row>
      <xdr:rowOff>145816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793DB6-EEA5-4203-AEB5-49AA28F33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74"/>
  <sheetViews>
    <sheetView showGridLines="0" topLeftCell="D1" zoomScale="70" zoomScaleNormal="70" workbookViewId="0">
      <selection activeCell="O14" sqref="O14"/>
    </sheetView>
  </sheetViews>
  <sheetFormatPr defaultColWidth="9.1328125" defaultRowHeight="13.15" x14ac:dyDescent="0.35"/>
  <cols>
    <col min="1" max="1" width="9.1328125" style="7"/>
    <col min="2" max="2" width="6.86328125" style="7" customWidth="1"/>
    <col min="3" max="3" width="32.59765625" style="7" customWidth="1"/>
    <col min="4" max="4" width="7.33203125" style="6" customWidth="1"/>
    <col min="5" max="5" width="8.86328125" style="6" customWidth="1"/>
    <col min="6" max="9" width="10.59765625" style="7" customWidth="1"/>
    <col min="10" max="14" width="11.6640625" style="7" customWidth="1"/>
    <col min="15" max="16" width="12.33203125" style="7" customWidth="1"/>
    <col min="17" max="17" width="12.33203125" style="7" bestFit="1" customWidth="1"/>
    <col min="18" max="18" width="10.73046875" style="7" bestFit="1" customWidth="1"/>
    <col min="19" max="19" width="12" style="7" bestFit="1" customWidth="1"/>
    <col min="20" max="20" width="11.19921875" style="7" bestFit="1" customWidth="1"/>
    <col min="21" max="21" width="13.46484375" style="7" bestFit="1" customWidth="1"/>
    <col min="22" max="22" width="9.1328125" style="7"/>
    <col min="23" max="23" width="18.9296875" style="7" bestFit="1" customWidth="1"/>
    <col min="24" max="24" width="10.86328125" style="7" bestFit="1" customWidth="1"/>
    <col min="25" max="16384" width="9.1328125" style="7"/>
  </cols>
  <sheetData>
    <row r="1" spans="2:25" x14ac:dyDescent="0.35">
      <c r="M1" s="21"/>
    </row>
    <row r="2" spans="2:25" s="6" customFormat="1" ht="13.5" x14ac:dyDescent="0.4">
      <c r="B2" s="4" t="s">
        <v>0</v>
      </c>
      <c r="C2" s="4" t="s">
        <v>1</v>
      </c>
      <c r="D2" s="4" t="s">
        <v>4</v>
      </c>
      <c r="E2" s="4"/>
      <c r="F2" s="5">
        <v>45658</v>
      </c>
      <c r="G2" s="5">
        <v>45689</v>
      </c>
      <c r="H2" s="5">
        <v>45717</v>
      </c>
      <c r="I2" s="5">
        <v>45748</v>
      </c>
      <c r="J2" s="5">
        <v>45778</v>
      </c>
      <c r="K2" s="5">
        <v>45809</v>
      </c>
      <c r="L2" s="5">
        <v>45839</v>
      </c>
      <c r="M2" s="5">
        <v>45870</v>
      </c>
      <c r="N2" s="5">
        <v>45901</v>
      </c>
      <c r="O2" s="5">
        <v>45931</v>
      </c>
      <c r="P2" s="5">
        <v>45962</v>
      </c>
      <c r="Q2" s="5">
        <v>45992</v>
      </c>
    </row>
    <row r="3" spans="2:25" x14ac:dyDescent="0.35">
      <c r="B3" s="2">
        <v>1</v>
      </c>
      <c r="C3" s="3" t="s">
        <v>8</v>
      </c>
      <c r="D3" s="1" t="s">
        <v>9</v>
      </c>
      <c r="E3" s="1" t="s">
        <v>2</v>
      </c>
      <c r="F3" s="20">
        <f>'Target Hilirisasi 2025'!E14</f>
        <v>2978</v>
      </c>
      <c r="G3" s="20">
        <f>'Target Hilirisasi 2025'!F14</f>
        <v>3255</v>
      </c>
      <c r="H3" s="20">
        <f>'Target Hilirisasi 2025'!G14</f>
        <v>2055</v>
      </c>
      <c r="I3" s="20">
        <f>'Target Hilirisasi 2025'!H14</f>
        <v>2030</v>
      </c>
      <c r="J3" s="20">
        <f>'Target Hilirisasi 2025'!I14</f>
        <v>2578</v>
      </c>
      <c r="K3" s="20">
        <f>'Target Hilirisasi 2025'!J14</f>
        <v>3480</v>
      </c>
      <c r="L3" s="20">
        <f>'Target Hilirisasi 2025'!K14</f>
        <v>3605</v>
      </c>
      <c r="M3" s="20">
        <f>'Target Hilirisasi 2025'!L14</f>
        <v>3630</v>
      </c>
      <c r="N3" s="20">
        <f>'Target Hilirisasi 2025'!M14</f>
        <v>3630</v>
      </c>
      <c r="O3" s="20">
        <f>'Target Hilirisasi 2025'!N14</f>
        <v>3630</v>
      </c>
      <c r="P3" s="20">
        <f>'Target Hilirisasi 2025'!O14</f>
        <v>3630</v>
      </c>
      <c r="Q3" s="20">
        <f>'Target Hilirisasi 2025'!P14</f>
        <v>2303</v>
      </c>
      <c r="S3" s="25">
        <f>SUM(F3:Q3)</f>
        <v>36804</v>
      </c>
    </row>
    <row r="4" spans="2:25" x14ac:dyDescent="0.35">
      <c r="B4" s="2"/>
      <c r="C4" s="3"/>
      <c r="D4" s="1" t="s">
        <v>9</v>
      </c>
      <c r="E4" s="1" t="s">
        <v>3</v>
      </c>
      <c r="F4" s="20">
        <f>'Realisasi Hilirisasi'!S24</f>
        <v>551.86478878878836</v>
      </c>
      <c r="G4" s="22">
        <f>'Realisasi Hilirisasi'!T24</f>
        <v>2423.051897051957</v>
      </c>
      <c r="H4" s="22">
        <f>'Realisasi Hilirisasi'!U24</f>
        <v>1414.3837203044573</v>
      </c>
      <c r="I4" s="22">
        <f>I59</f>
        <v>476.06404671874998</v>
      </c>
      <c r="J4" s="22">
        <f>J59</f>
        <v>2488.6600009250001</v>
      </c>
      <c r="K4" s="22">
        <f t="shared" ref="K4:Q4" si="0">K59</f>
        <v>1037.1636126552298</v>
      </c>
      <c r="L4" s="22">
        <f>L59</f>
        <v>1141.9421706323974</v>
      </c>
      <c r="M4" s="22">
        <f t="shared" si="0"/>
        <v>2246.0611533939964</v>
      </c>
      <c r="N4" s="22">
        <f t="shared" si="0"/>
        <v>1267.8544445</v>
      </c>
      <c r="O4" s="22">
        <f>O59</f>
        <v>4514.8280021785713</v>
      </c>
      <c r="P4" s="22">
        <f>P59</f>
        <v>3348.7244014906073</v>
      </c>
      <c r="Q4" s="22">
        <f t="shared" si="0"/>
        <v>4492.2404470000001</v>
      </c>
      <c r="S4" s="25">
        <f>SUM(F4:Q4)</f>
        <v>25402.838685639756</v>
      </c>
      <c r="U4" s="87">
        <f>S4/S3</f>
        <v>0.69021950564177148</v>
      </c>
    </row>
    <row r="5" spans="2:25" x14ac:dyDescent="0.35"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S5" s="25"/>
    </row>
    <row r="6" spans="2:25" x14ac:dyDescent="0.35">
      <c r="B6" s="8"/>
      <c r="C6" s="8" t="s">
        <v>6</v>
      </c>
      <c r="D6" s="1" t="s">
        <v>9</v>
      </c>
      <c r="E6" s="1" t="s">
        <v>2</v>
      </c>
      <c r="F6" s="16">
        <f>F3</f>
        <v>2978</v>
      </c>
      <c r="G6" s="16">
        <f>F6+G3</f>
        <v>6233</v>
      </c>
      <c r="H6" s="16">
        <f t="shared" ref="H6:Q6" si="1">G6+H3</f>
        <v>8288</v>
      </c>
      <c r="I6" s="16">
        <f t="shared" si="1"/>
        <v>10318</v>
      </c>
      <c r="J6" s="16">
        <f t="shared" si="1"/>
        <v>12896</v>
      </c>
      <c r="K6" s="16">
        <f t="shared" si="1"/>
        <v>16376</v>
      </c>
      <c r="L6" s="16">
        <f t="shared" si="1"/>
        <v>19981</v>
      </c>
      <c r="M6" s="16">
        <f t="shared" si="1"/>
        <v>23611</v>
      </c>
      <c r="N6" s="16">
        <f t="shared" si="1"/>
        <v>27241</v>
      </c>
      <c r="O6" s="16">
        <f t="shared" si="1"/>
        <v>30871</v>
      </c>
      <c r="P6" s="16">
        <f t="shared" si="1"/>
        <v>34501</v>
      </c>
      <c r="Q6" s="16">
        <f t="shared" si="1"/>
        <v>36804</v>
      </c>
      <c r="S6" s="25">
        <f>25250</f>
        <v>25250</v>
      </c>
      <c r="T6" s="10">
        <f>Q6-S6</f>
        <v>11554</v>
      </c>
    </row>
    <row r="7" spans="2:25" x14ac:dyDescent="0.35">
      <c r="B7" s="8"/>
      <c r="C7" s="8"/>
      <c r="D7" s="1" t="s">
        <v>9</v>
      </c>
      <c r="E7" s="1" t="s">
        <v>3</v>
      </c>
      <c r="F7" s="16">
        <f>F4</f>
        <v>551.86478878878836</v>
      </c>
      <c r="G7" s="17">
        <f>F7+G4</f>
        <v>2974.9166858407452</v>
      </c>
      <c r="H7" s="17">
        <f t="shared" ref="H7:Q7" si="2">G7+H4</f>
        <v>4389.3004061452029</v>
      </c>
      <c r="I7" s="17">
        <f t="shared" si="2"/>
        <v>4865.3644528639525</v>
      </c>
      <c r="J7" s="17">
        <f t="shared" si="2"/>
        <v>7354.0244537889521</v>
      </c>
      <c r="K7" s="17">
        <f t="shared" si="2"/>
        <v>8391.1880664441815</v>
      </c>
      <c r="L7" s="17">
        <f t="shared" si="2"/>
        <v>9533.1302370765789</v>
      </c>
      <c r="M7" s="17">
        <f t="shared" si="2"/>
        <v>11779.191390470576</v>
      </c>
      <c r="N7" s="17">
        <f t="shared" si="2"/>
        <v>13047.045834970577</v>
      </c>
      <c r="O7" s="17">
        <f t="shared" si="2"/>
        <v>17561.873837149149</v>
      </c>
      <c r="P7" s="17">
        <f t="shared" si="2"/>
        <v>20910.598238639755</v>
      </c>
      <c r="Q7" s="17">
        <f t="shared" si="2"/>
        <v>25402.838685639756</v>
      </c>
    </row>
    <row r="8" spans="2:25" x14ac:dyDescent="0.35">
      <c r="B8" s="8"/>
      <c r="C8" s="8"/>
      <c r="D8" s="1" t="s">
        <v>5</v>
      </c>
      <c r="E8" s="9" t="s">
        <v>7</v>
      </c>
      <c r="F8" s="68">
        <f>F7/F6*100</f>
        <v>18.531389818293768</v>
      </c>
      <c r="G8" s="68">
        <f t="shared" ref="G8:Q8" si="3">G7/G6*100</f>
        <v>47.728488462068754</v>
      </c>
      <c r="H8" s="68">
        <f t="shared" si="3"/>
        <v>52.959705672601388</v>
      </c>
      <c r="I8" s="68">
        <f t="shared" si="3"/>
        <v>47.154142787981705</v>
      </c>
      <c r="J8" s="68">
        <f t="shared" si="3"/>
        <v>57.025623866229466</v>
      </c>
      <c r="K8" s="68">
        <f t="shared" si="3"/>
        <v>51.240767381803742</v>
      </c>
      <c r="L8" s="68">
        <f t="shared" si="3"/>
        <v>47.7109766131654</v>
      </c>
      <c r="M8" s="68">
        <f t="shared" si="3"/>
        <v>49.888574776462562</v>
      </c>
      <c r="N8" s="68">
        <f t="shared" si="3"/>
        <v>47.894885778681314</v>
      </c>
      <c r="O8" s="68">
        <f t="shared" si="3"/>
        <v>56.887933131900972</v>
      </c>
      <c r="P8" s="68">
        <f t="shared" si="3"/>
        <v>60.608672904089019</v>
      </c>
      <c r="Q8" s="68">
        <f t="shared" si="3"/>
        <v>69.021950564177146</v>
      </c>
    </row>
    <row r="10" spans="2:25" x14ac:dyDescent="0.35">
      <c r="G10" s="21"/>
      <c r="J10" s="21"/>
    </row>
    <row r="13" spans="2:25" ht="13.5" x14ac:dyDescent="0.4">
      <c r="X13" s="38" t="s">
        <v>9</v>
      </c>
    </row>
    <row r="14" spans="2:25" x14ac:dyDescent="0.35">
      <c r="W14" s="7" t="s">
        <v>39</v>
      </c>
      <c r="X14" s="25">
        <f>K7</f>
        <v>8391.1880664441815</v>
      </c>
    </row>
    <row r="15" spans="2:25" x14ac:dyDescent="0.35">
      <c r="W15" s="7" t="s">
        <v>42</v>
      </c>
      <c r="X15" s="25">
        <v>6000</v>
      </c>
    </row>
    <row r="16" spans="2:25" x14ac:dyDescent="0.35">
      <c r="W16" s="7" t="s">
        <v>34</v>
      </c>
      <c r="X16" s="25">
        <f>Y16*0.8</f>
        <v>1000</v>
      </c>
      <c r="Y16" s="7">
        <f>1250</f>
        <v>1250</v>
      </c>
    </row>
    <row r="17" spans="23:24" x14ac:dyDescent="0.35">
      <c r="W17" s="7" t="s">
        <v>35</v>
      </c>
      <c r="X17" s="25">
        <f>900</f>
        <v>900</v>
      </c>
    </row>
    <row r="18" spans="23:24" x14ac:dyDescent="0.35">
      <c r="W18" s="7" t="s">
        <v>36</v>
      </c>
      <c r="X18" s="25">
        <f>100+200</f>
        <v>300</v>
      </c>
    </row>
    <row r="19" spans="23:24" x14ac:dyDescent="0.35">
      <c r="W19" s="7" t="s">
        <v>37</v>
      </c>
      <c r="X19" s="25">
        <v>360</v>
      </c>
    </row>
    <row r="20" spans="23:24" x14ac:dyDescent="0.35">
      <c r="W20" s="7" t="s">
        <v>38</v>
      </c>
      <c r="X20" s="25">
        <v>200</v>
      </c>
    </row>
    <row r="21" spans="23:24" x14ac:dyDescent="0.35">
      <c r="W21" s="7" t="s">
        <v>40</v>
      </c>
      <c r="X21" s="25">
        <f>600*6</f>
        <v>3600</v>
      </c>
    </row>
    <row r="22" spans="23:24" x14ac:dyDescent="0.35">
      <c r="W22" s="7" t="s">
        <v>41</v>
      </c>
      <c r="X22" s="25">
        <f>100*6</f>
        <v>600</v>
      </c>
    </row>
    <row r="23" spans="23:24" x14ac:dyDescent="0.35">
      <c r="W23" s="7" t="s">
        <v>43</v>
      </c>
      <c r="X23" s="25">
        <v>3000</v>
      </c>
    </row>
    <row r="24" spans="23:24" x14ac:dyDescent="0.35">
      <c r="X24" s="25"/>
    </row>
    <row r="25" spans="23:24" ht="13.5" x14ac:dyDescent="0.4">
      <c r="W25" s="39" t="s">
        <v>22</v>
      </c>
      <c r="X25" s="26">
        <f>SUM(X14:X24)</f>
        <v>24351.188066444181</v>
      </c>
    </row>
    <row r="26" spans="23:24" x14ac:dyDescent="0.35">
      <c r="X26" s="25"/>
    </row>
    <row r="27" spans="23:24" x14ac:dyDescent="0.35">
      <c r="X27" s="25"/>
    </row>
    <row r="30" spans="23:24" x14ac:dyDescent="0.35">
      <c r="X30" s="27">
        <f>X20+X17+X18+X19+X16</f>
        <v>2760</v>
      </c>
    </row>
    <row r="35" spans="3:24" x14ac:dyDescent="0.35">
      <c r="X35" s="7">
        <f>6/9</f>
        <v>0.66666666666666663</v>
      </c>
    </row>
    <row r="44" spans="3:24" x14ac:dyDescent="0.35">
      <c r="F44" s="113"/>
      <c r="G44" s="113"/>
      <c r="H44" s="113"/>
      <c r="I44" s="113"/>
    </row>
    <row r="45" spans="3:24" ht="13.5" x14ac:dyDescent="0.4">
      <c r="F45" s="24">
        <f>F2</f>
        <v>45658</v>
      </c>
      <c r="G45" s="24">
        <f t="shared" ref="G45:Q45" si="4">G2</f>
        <v>45689</v>
      </c>
      <c r="H45" s="24">
        <f t="shared" si="4"/>
        <v>45717</v>
      </c>
      <c r="I45" s="24">
        <f t="shared" si="4"/>
        <v>45748</v>
      </c>
      <c r="J45" s="24">
        <f t="shared" si="4"/>
        <v>45778</v>
      </c>
      <c r="K45" s="24">
        <f t="shared" si="4"/>
        <v>45809</v>
      </c>
      <c r="L45" s="24">
        <f t="shared" si="4"/>
        <v>45839</v>
      </c>
      <c r="M45" s="24">
        <f t="shared" si="4"/>
        <v>45870</v>
      </c>
      <c r="N45" s="24">
        <f t="shared" si="4"/>
        <v>45901</v>
      </c>
      <c r="O45" s="24">
        <f t="shared" si="4"/>
        <v>45931</v>
      </c>
      <c r="P45" s="24">
        <f t="shared" si="4"/>
        <v>45962</v>
      </c>
      <c r="Q45" s="24">
        <f t="shared" si="4"/>
        <v>45992</v>
      </c>
      <c r="R45" s="24" t="s">
        <v>23</v>
      </c>
    </row>
    <row r="46" spans="3:24" ht="13.5" x14ac:dyDescent="0.4">
      <c r="C46" s="23" t="s">
        <v>3</v>
      </c>
      <c r="F46" s="25"/>
      <c r="G46" s="25"/>
    </row>
    <row r="47" spans="3:24" x14ac:dyDescent="0.35">
      <c r="C47" s="7" t="s">
        <v>11</v>
      </c>
      <c r="F47" s="28">
        <f>'Realisasi Hilirisasi'!S28</f>
        <v>143.32434000000001</v>
      </c>
      <c r="G47" s="28">
        <f>'Realisasi Hilirisasi'!T28</f>
        <v>782.00073461184218</v>
      </c>
      <c r="H47" s="28">
        <f>'Realisasi Hilirisasi'!U28</f>
        <v>681.34312604440788</v>
      </c>
      <c r="I47" s="28">
        <f>'Realisasi Hilirisasi'!V28</f>
        <v>208.78669621875</v>
      </c>
      <c r="J47" s="28">
        <f>'Realisasi Hilirisasi'!W28</f>
        <v>592.86189842499994</v>
      </c>
      <c r="K47" s="28">
        <f>'Realisasi Hilirisasi'!X28</f>
        <v>-74.014672725000025</v>
      </c>
      <c r="L47" s="28">
        <f>'Realisasi Hilirisasi'!Y28</f>
        <v>406.85826914285701</v>
      </c>
      <c r="M47" s="28">
        <f>'Realisasi Hilirisasi'!Z28</f>
        <v>245.88915509374999</v>
      </c>
      <c r="N47" s="28">
        <f>'Realisasi Hilirisasi'!AA28</f>
        <v>531.90940000000001</v>
      </c>
      <c r="O47" s="28">
        <f>'Realisasi Hilirisasi'!AB28</f>
        <v>907.00824692857145</v>
      </c>
      <c r="P47" s="28">
        <f>'Realisasi Hilirisasi'!AC28</f>
        <v>750.88160000000005</v>
      </c>
      <c r="Q47" s="28">
        <f>'Realisasi Hilirisasi'!AD28</f>
        <v>251.44560000000001</v>
      </c>
      <c r="R47" s="25">
        <f>SUM(F47:Q47)</f>
        <v>5428.2943937401787</v>
      </c>
      <c r="S47" s="25">
        <f>6963+2000+100+25+5000+2500</f>
        <v>16588</v>
      </c>
    </row>
    <row r="48" spans="3:24" x14ac:dyDescent="0.35">
      <c r="C48" s="7" t="s">
        <v>14</v>
      </c>
      <c r="F48" s="28">
        <f>'Realisasi Hilirisasi'!S29</f>
        <v>64</v>
      </c>
      <c r="G48" s="28">
        <f>'Realisasi Hilirisasi'!T29</f>
        <v>1293</v>
      </c>
      <c r="H48" s="28">
        <f>'Realisasi Hilirisasi'!U29</f>
        <v>366</v>
      </c>
      <c r="I48" s="28">
        <f>'Realisasi Hilirisasi'!V29</f>
        <v>80.334000000000003</v>
      </c>
      <c r="J48" s="28">
        <f>'Realisasi Hilirisasi'!W29</f>
        <v>1638.8990000000001</v>
      </c>
      <c r="K48" s="28">
        <f>'Realisasi Hilirisasi'!X29</f>
        <v>864.274</v>
      </c>
      <c r="L48" s="28">
        <f>'Realisasi Hilirisasi'!Y29</f>
        <v>300</v>
      </c>
      <c r="M48" s="28">
        <f>'Realisasi Hilirisasi'!Z29</f>
        <v>1340.5329999999999</v>
      </c>
      <c r="N48" s="28">
        <f>'Realisasi Hilirisasi'!AA29</f>
        <v>98.74</v>
      </c>
      <c r="O48" s="28">
        <f>'Realisasi Hilirisasi'!AB29</f>
        <v>2524.779</v>
      </c>
      <c r="P48" s="28">
        <f>'Realisasi Hilirisasi'!AC29</f>
        <v>1560.36</v>
      </c>
      <c r="Q48" s="28">
        <f>'Realisasi Hilirisasi'!AD29</f>
        <v>3953.0210000000002</v>
      </c>
      <c r="R48" s="25">
        <f t="shared" ref="R48:R50" si="5">SUM(F48:Q48)</f>
        <v>14083.940000000002</v>
      </c>
      <c r="S48" s="25">
        <f>3000+SUM(F48:J48)</f>
        <v>6442.2330000000002</v>
      </c>
      <c r="U48" s="10">
        <f>SUM(F48:K48)/6</f>
        <v>717.75116666666679</v>
      </c>
    </row>
    <row r="49" spans="3:21" x14ac:dyDescent="0.35">
      <c r="C49" s="7" t="s">
        <v>16</v>
      </c>
      <c r="F49" s="28">
        <f>'Realisasi Hilirisasi'!S30</f>
        <v>344.54044878878835</v>
      </c>
      <c r="G49" s="28">
        <f>'Realisasi Hilirisasi'!T30</f>
        <v>348.05116244011487</v>
      </c>
      <c r="H49" s="28">
        <f>'Realisasi Hilirisasi'!U30</f>
        <v>367.04059426004926</v>
      </c>
      <c r="I49" s="28">
        <f>'Realisasi Hilirisasi'!V30</f>
        <v>186.94335049999998</v>
      </c>
      <c r="J49" s="28">
        <f>'Realisasi Hilirisasi'!W30</f>
        <v>256.89910250000003</v>
      </c>
      <c r="K49" s="28">
        <f>'Realisasi Hilirisasi'!X30</f>
        <v>246.90428538022971</v>
      </c>
      <c r="L49" s="28">
        <f>'Realisasi Hilirisasi'!Y30</f>
        <v>435.08390148954049</v>
      </c>
      <c r="M49" s="28">
        <f>'Realisasi Hilirisasi'!Z30</f>
        <v>659.63899830024616</v>
      </c>
      <c r="N49" s="28">
        <f>'Realisasi Hilirisasi'!AA30</f>
        <v>637.20504449999999</v>
      </c>
      <c r="O49" s="28">
        <f>'Realisasi Hilirisasi'!AB30</f>
        <v>1083.0407552500001</v>
      </c>
      <c r="P49" s="28">
        <f>'Realisasi Hilirisasi'!AC30</f>
        <v>1037.4828014906072</v>
      </c>
      <c r="Q49" s="28">
        <f>'Realisasi Hilirisasi'!AD30</f>
        <v>287.77384700000005</v>
      </c>
      <c r="R49" s="25">
        <f t="shared" si="5"/>
        <v>5890.6042918995772</v>
      </c>
      <c r="S49" s="25">
        <f>R49/5*7+SUM(F49:J49)</f>
        <v>9750.3206671483604</v>
      </c>
      <c r="T49" s="10">
        <f>R49/6</f>
        <v>981.76738198326291</v>
      </c>
      <c r="U49" s="10">
        <f t="shared" ref="U49:U50" si="6">SUM(F49:K49)/6</f>
        <v>291.72982397819703</v>
      </c>
    </row>
    <row r="50" spans="3:21" x14ac:dyDescent="0.35">
      <c r="C50" s="7" t="s">
        <v>21</v>
      </c>
      <c r="F50" s="28">
        <f>'Realisasi Hilirisasi'!S31</f>
        <v>0</v>
      </c>
      <c r="G50" s="28">
        <f>'Realisasi Hilirisasi'!T31</f>
        <v>0</v>
      </c>
      <c r="H50" s="28">
        <f>'Realisasi Hilirisasi'!U31</f>
        <v>0</v>
      </c>
      <c r="I50" s="28">
        <f>'Realisasi Hilirisasi'!V31</f>
        <v>0</v>
      </c>
      <c r="J50" s="28">
        <f>'Realisasi Hilirisasi'!W31</f>
        <v>0</v>
      </c>
      <c r="K50" s="28">
        <f>'Realisasi Hilirisasi'!X31</f>
        <v>0</v>
      </c>
      <c r="L50" s="28">
        <f>'Realisasi Hilirisasi'!Y31</f>
        <v>0</v>
      </c>
      <c r="M50" s="28">
        <f>'Realisasi Hilirisasi'!Z31</f>
        <v>0</v>
      </c>
      <c r="N50" s="28">
        <f>'Realisasi Hilirisasi'!AA31</f>
        <v>0</v>
      </c>
      <c r="O50" s="28">
        <f>'Realisasi Hilirisasi'!AB31</f>
        <v>0</v>
      </c>
      <c r="P50" s="28">
        <f>'Realisasi Hilirisasi'!AC31</f>
        <v>0</v>
      </c>
      <c r="Q50" s="28">
        <f>'Realisasi Hilirisasi'!AD31</f>
        <v>0</v>
      </c>
      <c r="R50" s="25">
        <f t="shared" si="5"/>
        <v>0</v>
      </c>
      <c r="S50" s="25">
        <f>R50</f>
        <v>0</v>
      </c>
      <c r="U50" s="10">
        <f t="shared" si="6"/>
        <v>0</v>
      </c>
    </row>
    <row r="51" spans="3:21" s="78" customFormat="1" ht="15" x14ac:dyDescent="0.4">
      <c r="C51" s="78" t="s">
        <v>22</v>
      </c>
      <c r="D51" s="79"/>
      <c r="E51" s="79"/>
      <c r="F51" s="77">
        <f>SUM(F47:F50)</f>
        <v>551.86478878878836</v>
      </c>
      <c r="G51" s="77">
        <f t="shared" ref="G51:Q51" si="7">SUM(G47:G50)</f>
        <v>2423.051897051957</v>
      </c>
      <c r="H51" s="77">
        <f t="shared" si="7"/>
        <v>1414.3837203044573</v>
      </c>
      <c r="I51" s="77">
        <f t="shared" si="7"/>
        <v>476.06404671874998</v>
      </c>
      <c r="J51" s="77">
        <f t="shared" si="7"/>
        <v>2488.6600009250001</v>
      </c>
      <c r="K51" s="77">
        <f t="shared" si="7"/>
        <v>1037.1636126552298</v>
      </c>
      <c r="L51" s="77">
        <f t="shared" si="7"/>
        <v>1141.9421706323974</v>
      </c>
      <c r="M51" s="77">
        <f t="shared" si="7"/>
        <v>2246.0611533939964</v>
      </c>
      <c r="N51" s="77">
        <f t="shared" si="7"/>
        <v>1267.8544445</v>
      </c>
      <c r="O51" s="77">
        <f t="shared" si="7"/>
        <v>4514.8280021785713</v>
      </c>
      <c r="P51" s="77">
        <f t="shared" si="7"/>
        <v>3348.7244014906073</v>
      </c>
      <c r="Q51" s="77">
        <f t="shared" si="7"/>
        <v>4492.2404470000001</v>
      </c>
      <c r="R51" s="77">
        <f>SUM(R47:R50)</f>
        <v>25402.838685639759</v>
      </c>
      <c r="S51" s="77">
        <f>SUM(S47:S50)</f>
        <v>32780.553667148357</v>
      </c>
    </row>
    <row r="52" spans="3:21" x14ac:dyDescent="0.35">
      <c r="J52" s="27"/>
      <c r="K52" s="27"/>
      <c r="L52" s="27"/>
      <c r="M52" s="27"/>
      <c r="N52" s="27"/>
      <c r="O52" s="27"/>
      <c r="P52" s="27"/>
      <c r="Q52" s="27"/>
    </row>
    <row r="54" spans="3:21" ht="17.649999999999999" x14ac:dyDescent="0.5">
      <c r="C54" s="81" t="s">
        <v>89</v>
      </c>
      <c r="D54" s="86"/>
      <c r="E54" s="86"/>
      <c r="F54" s="85">
        <f>F45</f>
        <v>45658</v>
      </c>
      <c r="G54" s="85">
        <f t="shared" ref="G54:Q54" si="8">G45</f>
        <v>45689</v>
      </c>
      <c r="H54" s="85">
        <f t="shared" si="8"/>
        <v>45717</v>
      </c>
      <c r="I54" s="85">
        <f t="shared" si="8"/>
        <v>45748</v>
      </c>
      <c r="J54" s="85">
        <f t="shared" si="8"/>
        <v>45778</v>
      </c>
      <c r="K54" s="85">
        <f t="shared" si="8"/>
        <v>45809</v>
      </c>
      <c r="L54" s="85">
        <f t="shared" si="8"/>
        <v>45839</v>
      </c>
      <c r="M54" s="85">
        <f t="shared" si="8"/>
        <v>45870</v>
      </c>
      <c r="N54" s="85">
        <f t="shared" si="8"/>
        <v>45901</v>
      </c>
      <c r="O54" s="85">
        <f t="shared" si="8"/>
        <v>45931</v>
      </c>
      <c r="P54" s="85">
        <f t="shared" si="8"/>
        <v>45962</v>
      </c>
      <c r="Q54" s="85">
        <f t="shared" si="8"/>
        <v>45992</v>
      </c>
      <c r="R54" s="81" t="s">
        <v>23</v>
      </c>
      <c r="S54" s="81" t="s">
        <v>96</v>
      </c>
      <c r="T54" s="82" t="s">
        <v>5</v>
      </c>
    </row>
    <row r="55" spans="3:21" x14ac:dyDescent="0.35">
      <c r="C55" s="7" t="s">
        <v>11</v>
      </c>
      <c r="F55" s="27">
        <f>F47</f>
        <v>143.32434000000001</v>
      </c>
      <c r="G55" s="27">
        <f t="shared" ref="G55:H55" si="9">G47</f>
        <v>782.00073461184218</v>
      </c>
      <c r="H55" s="27">
        <f t="shared" si="9"/>
        <v>681.34312604440788</v>
      </c>
      <c r="I55" s="27">
        <f t="shared" ref="I55:J55" si="10">I47</f>
        <v>208.78669621875</v>
      </c>
      <c r="J55" s="27">
        <f t="shared" si="10"/>
        <v>592.86189842499994</v>
      </c>
      <c r="K55" s="27">
        <f t="shared" ref="K55:L55" si="11">K47</f>
        <v>-74.014672725000025</v>
      </c>
      <c r="L55" s="27">
        <f t="shared" si="11"/>
        <v>406.85826914285701</v>
      </c>
      <c r="M55" s="27">
        <f t="shared" ref="M55:N55" si="12">M47</f>
        <v>245.88915509374999</v>
      </c>
      <c r="N55" s="27">
        <f t="shared" si="12"/>
        <v>531.90940000000001</v>
      </c>
      <c r="O55" s="27">
        <f t="shared" ref="O55:P55" si="13">O47</f>
        <v>907.00824692857145</v>
      </c>
      <c r="P55" s="27">
        <f t="shared" si="13"/>
        <v>750.88160000000005</v>
      </c>
      <c r="Q55" s="27">
        <f t="shared" ref="Q55" si="14">Q47</f>
        <v>251.44560000000001</v>
      </c>
      <c r="R55" s="27">
        <f>SUM(F55:Q55)</f>
        <v>5428.2943937401787</v>
      </c>
      <c r="S55" s="25">
        <f>'Target Hilirisasi 2025'!AJ9</f>
        <v>25000</v>
      </c>
      <c r="T55" s="80">
        <f>R55/S55</f>
        <v>0.21713177574960715</v>
      </c>
    </row>
    <row r="56" spans="3:21" x14ac:dyDescent="0.35">
      <c r="C56" s="7" t="s">
        <v>14</v>
      </c>
      <c r="F56" s="27">
        <f t="shared" ref="F56:I58" si="15">F48</f>
        <v>64</v>
      </c>
      <c r="G56" s="27">
        <f t="shared" si="15"/>
        <v>1293</v>
      </c>
      <c r="H56" s="27">
        <f t="shared" si="15"/>
        <v>366</v>
      </c>
      <c r="I56" s="27">
        <f t="shared" ref="I56:J56" si="16">I48</f>
        <v>80.334000000000003</v>
      </c>
      <c r="J56" s="27">
        <f t="shared" si="16"/>
        <v>1638.8990000000001</v>
      </c>
      <c r="K56" s="27">
        <f t="shared" ref="K56:L56" si="17">K48</f>
        <v>864.274</v>
      </c>
      <c r="L56" s="27">
        <f t="shared" si="17"/>
        <v>300</v>
      </c>
      <c r="M56" s="27">
        <f t="shared" ref="M56:N56" si="18">M48</f>
        <v>1340.5329999999999</v>
      </c>
      <c r="N56" s="27">
        <f t="shared" si="18"/>
        <v>98.74</v>
      </c>
      <c r="O56" s="27">
        <f t="shared" ref="O56:P56" si="19">O48</f>
        <v>2524.779</v>
      </c>
      <c r="P56" s="27">
        <f t="shared" si="19"/>
        <v>1560.36</v>
      </c>
      <c r="Q56" s="27">
        <f t="shared" ref="Q56" si="20">Q48</f>
        <v>3953.0210000000002</v>
      </c>
      <c r="R56" s="27">
        <f t="shared" ref="R56:R58" si="21">SUM(F56:Q56)</f>
        <v>14083.940000000002</v>
      </c>
      <c r="S56" s="25">
        <f>'Target Hilirisasi 2025'!AJ10</f>
        <v>6804</v>
      </c>
      <c r="T56" s="80">
        <f t="shared" ref="T56:T59" si="22">R56/S56</f>
        <v>2.0699500293944744</v>
      </c>
      <c r="U56" s="10">
        <f>R56/3</f>
        <v>4694.6466666666674</v>
      </c>
    </row>
    <row r="57" spans="3:21" x14ac:dyDescent="0.35">
      <c r="C57" s="7" t="s">
        <v>16</v>
      </c>
      <c r="F57" s="27">
        <f t="shared" si="15"/>
        <v>344.54044878878835</v>
      </c>
      <c r="G57" s="27">
        <f t="shared" si="15"/>
        <v>348.05116244011487</v>
      </c>
      <c r="H57" s="27">
        <f t="shared" si="15"/>
        <v>367.04059426004926</v>
      </c>
      <c r="I57" s="27">
        <f t="shared" ref="I57:J57" si="23">I49</f>
        <v>186.94335049999998</v>
      </c>
      <c r="J57" s="27">
        <f t="shared" si="23"/>
        <v>256.89910250000003</v>
      </c>
      <c r="K57" s="27">
        <f t="shared" ref="K57:L57" si="24">K49</f>
        <v>246.90428538022971</v>
      </c>
      <c r="L57" s="27">
        <f t="shared" si="24"/>
        <v>435.08390148954049</v>
      </c>
      <c r="M57" s="27">
        <f t="shared" ref="M57:N57" si="25">M49</f>
        <v>659.63899830024616</v>
      </c>
      <c r="N57" s="27">
        <f t="shared" si="25"/>
        <v>637.20504449999999</v>
      </c>
      <c r="O57" s="27">
        <f t="shared" ref="O57:P57" si="26">O49</f>
        <v>1083.0407552500001</v>
      </c>
      <c r="P57" s="27">
        <f t="shared" si="26"/>
        <v>1037.4828014906072</v>
      </c>
      <c r="Q57" s="27">
        <f t="shared" ref="Q57" si="27">Q49</f>
        <v>287.77384700000005</v>
      </c>
      <c r="R57" s="27">
        <f t="shared" si="21"/>
        <v>5890.6042918995772</v>
      </c>
      <c r="S57" s="25">
        <f>'Target Hilirisasi 2025'!AJ11</f>
        <v>5000</v>
      </c>
      <c r="T57" s="80">
        <f t="shared" si="22"/>
        <v>1.1781208583799154</v>
      </c>
      <c r="U57" s="10">
        <f>R57/3</f>
        <v>1963.5347639665258</v>
      </c>
    </row>
    <row r="58" spans="3:21" x14ac:dyDescent="0.35">
      <c r="C58" s="7" t="s">
        <v>21</v>
      </c>
      <c r="F58" s="27">
        <f t="shared" si="15"/>
        <v>0</v>
      </c>
      <c r="G58" s="27">
        <f t="shared" si="15"/>
        <v>0</v>
      </c>
      <c r="H58" s="27">
        <f t="shared" si="15"/>
        <v>0</v>
      </c>
      <c r="I58" s="27">
        <f t="shared" si="15"/>
        <v>0</v>
      </c>
      <c r="J58" s="27">
        <f t="shared" ref="J58:K58" si="28">J50</f>
        <v>0</v>
      </c>
      <c r="K58" s="27">
        <f t="shared" si="28"/>
        <v>0</v>
      </c>
      <c r="L58" s="27">
        <f t="shared" ref="L58:M58" si="29">L50</f>
        <v>0</v>
      </c>
      <c r="M58" s="27">
        <f t="shared" si="29"/>
        <v>0</v>
      </c>
      <c r="N58" s="27">
        <f t="shared" ref="N58:O58" si="30">N50</f>
        <v>0</v>
      </c>
      <c r="O58" s="27">
        <f t="shared" si="30"/>
        <v>0</v>
      </c>
      <c r="P58" s="27">
        <f t="shared" ref="P58:Q58" si="31">P50</f>
        <v>0</v>
      </c>
      <c r="Q58" s="27">
        <f t="shared" si="31"/>
        <v>0</v>
      </c>
      <c r="R58" s="27">
        <f t="shared" si="21"/>
        <v>0</v>
      </c>
      <c r="S58" s="25">
        <f>'Target Hilirisasi 2025'!AJ12</f>
        <v>0</v>
      </c>
      <c r="T58" s="80" t="e">
        <f t="shared" si="22"/>
        <v>#DIV/0!</v>
      </c>
    </row>
    <row r="59" spans="3:21" s="78" customFormat="1" ht="17.649999999999999" x14ac:dyDescent="0.5">
      <c r="C59" s="81" t="s">
        <v>22</v>
      </c>
      <c r="D59" s="82"/>
      <c r="E59" s="82"/>
      <c r="F59" s="83">
        <f>SUM(F55:F58)</f>
        <v>551.86478878878836</v>
      </c>
      <c r="G59" s="83">
        <f t="shared" ref="G59:S59" si="32">SUM(G55:G58)</f>
        <v>2423.051897051957</v>
      </c>
      <c r="H59" s="83">
        <f t="shared" si="32"/>
        <v>1414.3837203044573</v>
      </c>
      <c r="I59" s="83">
        <f t="shared" si="32"/>
        <v>476.06404671874998</v>
      </c>
      <c r="J59" s="83">
        <f t="shared" si="32"/>
        <v>2488.6600009250001</v>
      </c>
      <c r="K59" s="83">
        <f t="shared" si="32"/>
        <v>1037.1636126552298</v>
      </c>
      <c r="L59" s="83">
        <f t="shared" si="32"/>
        <v>1141.9421706323974</v>
      </c>
      <c r="M59" s="83">
        <f t="shared" ref="M59:N59" si="33">SUM(M55:M58)</f>
        <v>2246.0611533939964</v>
      </c>
      <c r="N59" s="83">
        <f t="shared" si="33"/>
        <v>1267.8544445</v>
      </c>
      <c r="O59" s="83">
        <f t="shared" ref="O59" si="34">SUM(O55:O58)</f>
        <v>4514.8280021785713</v>
      </c>
      <c r="P59" s="83">
        <f t="shared" ref="P59" si="35">SUM(P55:P58)</f>
        <v>3348.7244014906073</v>
      </c>
      <c r="Q59" s="83">
        <f t="shared" ref="Q59" si="36">SUM(Q55:Q58)</f>
        <v>4492.2404470000001</v>
      </c>
      <c r="R59" s="83">
        <f t="shared" si="32"/>
        <v>25402.838685639759</v>
      </c>
      <c r="S59" s="83">
        <f t="shared" si="32"/>
        <v>36804</v>
      </c>
      <c r="T59" s="84">
        <f t="shared" si="22"/>
        <v>0.69021950564177148</v>
      </c>
    </row>
    <row r="62" spans="3:21" ht="17.649999999999999" x14ac:dyDescent="0.5">
      <c r="C62" s="88" t="s">
        <v>99</v>
      </c>
    </row>
    <row r="63" spans="3:21" ht="17.649999999999999" x14ac:dyDescent="0.5">
      <c r="N63" s="85">
        <f>N54</f>
        <v>45901</v>
      </c>
      <c r="O63" s="85">
        <f t="shared" ref="O63:Q63" si="37">O54</f>
        <v>45931</v>
      </c>
      <c r="P63" s="85">
        <f t="shared" si="37"/>
        <v>45962</v>
      </c>
      <c r="Q63" s="85">
        <f t="shared" si="37"/>
        <v>45992</v>
      </c>
    </row>
    <row r="64" spans="3:21" x14ac:dyDescent="0.35">
      <c r="C64" s="7" t="s">
        <v>90</v>
      </c>
      <c r="L64" s="25"/>
      <c r="M64" s="25"/>
      <c r="N64" s="25"/>
      <c r="O64" s="25"/>
      <c r="P64" s="25"/>
      <c r="Q64" s="25"/>
    </row>
    <row r="65" spans="3:21" hidden="1" x14ac:dyDescent="0.35">
      <c r="C65" s="7" t="s">
        <v>20</v>
      </c>
      <c r="L65" s="25"/>
      <c r="M65" s="25"/>
      <c r="N65" s="25"/>
      <c r="O65" s="25"/>
      <c r="P65" s="25"/>
      <c r="Q65" s="25"/>
    </row>
    <row r="66" spans="3:21" x14ac:dyDescent="0.35">
      <c r="C66" s="7" t="s">
        <v>91</v>
      </c>
      <c r="L66" s="25"/>
      <c r="M66" s="25"/>
      <c r="N66" s="25"/>
      <c r="O66" s="25"/>
      <c r="P66" s="25"/>
      <c r="Q66" s="25"/>
    </row>
    <row r="67" spans="3:21" x14ac:dyDescent="0.35">
      <c r="C67" s="7" t="s">
        <v>92</v>
      </c>
      <c r="L67" s="25"/>
      <c r="M67" s="25"/>
      <c r="N67" s="25"/>
      <c r="O67" s="25"/>
      <c r="P67" s="25"/>
      <c r="Q67" s="25"/>
    </row>
    <row r="68" spans="3:21" x14ac:dyDescent="0.35">
      <c r="C68" s="7" t="s">
        <v>93</v>
      </c>
      <c r="L68" s="25"/>
      <c r="M68" s="25"/>
      <c r="N68" s="25"/>
      <c r="O68" s="25"/>
      <c r="P68" s="25"/>
      <c r="Q68" s="25"/>
    </row>
    <row r="69" spans="3:21" hidden="1" x14ac:dyDescent="0.35">
      <c r="C69" s="7" t="s">
        <v>95</v>
      </c>
      <c r="L69" s="25"/>
      <c r="M69" s="25"/>
      <c r="N69" s="25"/>
      <c r="O69" s="25"/>
      <c r="P69" s="25"/>
      <c r="Q69" s="25"/>
    </row>
    <row r="70" spans="3:21" x14ac:dyDescent="0.35">
      <c r="C70" s="7" t="s">
        <v>94</v>
      </c>
      <c r="L70" s="25"/>
      <c r="M70" s="25"/>
      <c r="N70" s="25"/>
      <c r="O70" s="25"/>
      <c r="P70" s="25"/>
      <c r="Q70" s="25"/>
      <c r="U70" s="25">
        <f>500*16000</f>
        <v>8000000</v>
      </c>
    </row>
    <row r="71" spans="3:21" ht="17.649999999999999" x14ac:dyDescent="0.5">
      <c r="C71" s="83" t="s">
        <v>100</v>
      </c>
      <c r="D71" s="83"/>
      <c r="E71" s="83"/>
      <c r="L71" s="26">
        <f>SUM(L64:L70)</f>
        <v>0</v>
      </c>
      <c r="M71" s="26">
        <f t="shared" ref="M71:Q71" si="38">SUM(M64:M70)</f>
        <v>0</v>
      </c>
      <c r="N71" s="83">
        <f t="shared" si="38"/>
        <v>0</v>
      </c>
      <c r="O71" s="83">
        <f t="shared" si="38"/>
        <v>0</v>
      </c>
      <c r="P71" s="83">
        <f t="shared" si="38"/>
        <v>0</v>
      </c>
      <c r="Q71" s="83">
        <f t="shared" si="38"/>
        <v>0</v>
      </c>
    </row>
    <row r="72" spans="3:21" x14ac:dyDescent="0.35">
      <c r="L72" s="25"/>
      <c r="M72" s="25"/>
      <c r="N72" s="25"/>
      <c r="O72" s="25"/>
      <c r="P72" s="25"/>
      <c r="Q72" s="25"/>
    </row>
    <row r="73" spans="3:21" x14ac:dyDescent="0.35">
      <c r="L73" s="25"/>
      <c r="M73" s="25"/>
      <c r="N73" s="25"/>
      <c r="O73" s="25"/>
      <c r="P73" s="25"/>
      <c r="Q73" s="25"/>
    </row>
    <row r="74" spans="3:21" x14ac:dyDescent="0.35">
      <c r="L74" s="25"/>
      <c r="M74" s="25"/>
      <c r="N74" s="25"/>
      <c r="O74" s="25"/>
      <c r="P74" s="25"/>
      <c r="Q74" s="25"/>
    </row>
  </sheetData>
  <mergeCells count="1">
    <mergeCell ref="F44:I4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5053-5816-42B7-9D6A-F2CB091C74F8}">
  <dimension ref="B2:AG187"/>
  <sheetViews>
    <sheetView showGridLines="0" topLeftCell="A181" zoomScale="85" zoomScaleNormal="85" workbookViewId="0">
      <selection activeCell="AF37" sqref="AF37"/>
    </sheetView>
  </sheetViews>
  <sheetFormatPr defaultColWidth="5.06640625" defaultRowHeight="13.5" x14ac:dyDescent="0.35"/>
  <cols>
    <col min="1" max="1" width="5.06640625" style="60"/>
    <col min="2" max="2" width="8.9296875" style="60" customWidth="1"/>
    <col min="3" max="3" width="7.19921875" style="63" bestFit="1" customWidth="1"/>
    <col min="4" max="4" width="37.19921875" style="60" customWidth="1"/>
    <col min="5" max="5" width="10.19921875" style="60" bestFit="1" customWidth="1"/>
    <col min="6" max="6" width="20.6640625" style="60" bestFit="1" customWidth="1"/>
    <col min="7" max="7" width="19.33203125" style="60" bestFit="1" customWidth="1"/>
    <col min="8" max="8" width="9.19921875" style="60" bestFit="1" customWidth="1"/>
    <col min="9" max="9" width="20.6640625" style="60" bestFit="1" customWidth="1"/>
    <col min="10" max="10" width="16.59765625" style="60" bestFit="1" customWidth="1"/>
    <col min="11" max="11" width="8.59765625" style="60" bestFit="1" customWidth="1"/>
    <col min="12" max="13" width="5.06640625" style="60"/>
    <col min="14" max="14" width="13.73046875" style="60" bestFit="1" customWidth="1"/>
    <col min="15" max="16" width="5.06640625" style="60"/>
    <col min="17" max="17" width="33.86328125" style="60" customWidth="1"/>
    <col min="18" max="18" width="7.6640625" style="60" bestFit="1" customWidth="1"/>
    <col min="19" max="19" width="8.46484375" style="64" bestFit="1" customWidth="1"/>
    <col min="20" max="20" width="9.796875" style="60" customWidth="1"/>
    <col min="21" max="30" width="9.796875" style="60" bestFit="1" customWidth="1"/>
    <col min="31" max="31" width="11.1328125" style="64" bestFit="1" customWidth="1"/>
    <col min="32" max="32" width="10.1328125" style="60" customWidth="1"/>
    <col min="33" max="33" width="9.06640625" style="60" bestFit="1" customWidth="1"/>
    <col min="34" max="16383" width="5.06640625" style="60"/>
    <col min="16384" max="16384" width="6.6640625" style="60" bestFit="1" customWidth="1"/>
  </cols>
  <sheetData>
    <row r="2" spans="2:32" x14ac:dyDescent="0.35">
      <c r="B2" s="60" t="s">
        <v>54</v>
      </c>
    </row>
    <row r="4" spans="2:32" ht="17.25" x14ac:dyDescent="0.45">
      <c r="B4" s="61" t="s">
        <v>114</v>
      </c>
    </row>
    <row r="5" spans="2:32" x14ac:dyDescent="0.35">
      <c r="S5" s="66">
        <v>1</v>
      </c>
      <c r="T5" s="63">
        <f>S5+1</f>
        <v>2</v>
      </c>
      <c r="U5" s="63">
        <f t="shared" ref="U5:AD5" si="0">T5+1</f>
        <v>3</v>
      </c>
      <c r="V5" s="63">
        <f t="shared" si="0"/>
        <v>4</v>
      </c>
      <c r="W5" s="63">
        <f t="shared" si="0"/>
        <v>5</v>
      </c>
      <c r="X5" s="63">
        <f t="shared" si="0"/>
        <v>6</v>
      </c>
      <c r="Y5" s="63">
        <f t="shared" si="0"/>
        <v>7</v>
      </c>
      <c r="Z5" s="63">
        <f t="shared" si="0"/>
        <v>8</v>
      </c>
      <c r="AA5" s="63">
        <f t="shared" si="0"/>
        <v>9</v>
      </c>
      <c r="AB5" s="63">
        <f t="shared" si="0"/>
        <v>10</v>
      </c>
      <c r="AC5" s="63">
        <f t="shared" si="0"/>
        <v>11</v>
      </c>
      <c r="AD5" s="63">
        <f t="shared" si="0"/>
        <v>12</v>
      </c>
    </row>
    <row r="7" spans="2:32" s="112" customFormat="1" ht="15.75" x14ac:dyDescent="0.5">
      <c r="B7" s="107" t="s">
        <v>78</v>
      </c>
      <c r="C7" s="107" t="s">
        <v>55</v>
      </c>
      <c r="D7" s="107" t="s">
        <v>71</v>
      </c>
      <c r="E7" s="107" t="s">
        <v>59</v>
      </c>
      <c r="F7" s="107" t="s">
        <v>60</v>
      </c>
      <c r="G7" s="107" t="s">
        <v>10</v>
      </c>
      <c r="H7" s="107" t="s">
        <v>79</v>
      </c>
      <c r="I7" s="107" t="s">
        <v>97</v>
      </c>
      <c r="J7" s="107" t="s">
        <v>117</v>
      </c>
      <c r="Q7" s="107" t="s">
        <v>71</v>
      </c>
      <c r="R7" s="107"/>
      <c r="S7" s="107" t="s">
        <v>24</v>
      </c>
      <c r="T7" s="107" t="s">
        <v>25</v>
      </c>
      <c r="U7" s="107" t="s">
        <v>26</v>
      </c>
      <c r="V7" s="107" t="s">
        <v>27</v>
      </c>
      <c r="W7" s="107" t="s">
        <v>28</v>
      </c>
      <c r="X7" s="107" t="s">
        <v>33</v>
      </c>
      <c r="Y7" s="107" t="s">
        <v>44</v>
      </c>
      <c r="Z7" s="107" t="s">
        <v>83</v>
      </c>
      <c r="AA7" s="107" t="s">
        <v>84</v>
      </c>
      <c r="AB7" s="107" t="s">
        <v>46</v>
      </c>
      <c r="AC7" s="107" t="s">
        <v>47</v>
      </c>
      <c r="AD7" s="107" t="s">
        <v>48</v>
      </c>
      <c r="AE7" s="107" t="s">
        <v>23</v>
      </c>
    </row>
    <row r="8" spans="2:32" x14ac:dyDescent="0.35">
      <c r="B8" s="63">
        <v>1</v>
      </c>
      <c r="C8" s="63" t="s">
        <v>11</v>
      </c>
      <c r="D8" s="60" t="s">
        <v>12</v>
      </c>
      <c r="E8" s="64">
        <v>12.229940000000001</v>
      </c>
      <c r="F8" s="64">
        <v>274014772</v>
      </c>
      <c r="G8" s="64">
        <v>24459880</v>
      </c>
      <c r="H8" s="65">
        <f t="shared" ref="H8:H12" si="1">IF(E8=0,0,G8/F8)</f>
        <v>8.9264822554894957E-2</v>
      </c>
      <c r="I8" s="64">
        <f>F8-G8</f>
        <v>249554892</v>
      </c>
      <c r="J8" s="64">
        <f>F8/E8</f>
        <v>22405242.544117142</v>
      </c>
      <c r="Q8" s="60" t="s">
        <v>12</v>
      </c>
      <c r="R8" s="60" t="s">
        <v>9</v>
      </c>
      <c r="S8" s="64">
        <f t="shared" ref="S8:AD22" si="2">SUMIFS($E:$E,$D:$D,$Q8,$B:$B,S$5)</f>
        <v>12.229940000000001</v>
      </c>
      <c r="T8" s="64">
        <f t="shared" si="2"/>
        <v>0</v>
      </c>
      <c r="U8" s="64">
        <f t="shared" si="2"/>
        <v>27.303619999999995</v>
      </c>
      <c r="V8" s="64">
        <f t="shared" si="2"/>
        <v>0</v>
      </c>
      <c r="W8" s="64">
        <f t="shared" si="2"/>
        <v>7.5430000000000001</v>
      </c>
      <c r="X8" s="64">
        <f t="shared" si="2"/>
        <v>0</v>
      </c>
      <c r="Y8" s="64">
        <f t="shared" si="2"/>
        <v>0</v>
      </c>
      <c r="Z8" s="64">
        <f t="shared" si="2"/>
        <v>0</v>
      </c>
      <c r="AA8" s="64">
        <f t="shared" si="2"/>
        <v>0</v>
      </c>
      <c r="AB8" s="64">
        <f t="shared" si="2"/>
        <v>0</v>
      </c>
      <c r="AC8" s="64">
        <f t="shared" si="2"/>
        <v>0</v>
      </c>
      <c r="AD8" s="64">
        <f t="shared" si="2"/>
        <v>0</v>
      </c>
      <c r="AE8" s="64">
        <f>SUM(S8:AD8)</f>
        <v>47.076559999999994</v>
      </c>
      <c r="AF8" s="60" t="str">
        <f>VLOOKUP(Q8,Perbandingan!$B$8:$B$22,1,0)</f>
        <v>Tower</v>
      </c>
    </row>
    <row r="9" spans="2:32" x14ac:dyDescent="0.35">
      <c r="B9" s="63">
        <v>1</v>
      </c>
      <c r="C9" s="63" t="s">
        <v>11</v>
      </c>
      <c r="D9" s="60" t="s">
        <v>13</v>
      </c>
      <c r="E9" s="64">
        <v>20.283999999999999</v>
      </c>
      <c r="F9" s="64">
        <v>507100000</v>
      </c>
      <c r="G9" s="64">
        <v>25355000</v>
      </c>
      <c r="H9" s="65">
        <f t="shared" si="1"/>
        <v>0.05</v>
      </c>
      <c r="I9" s="64">
        <f t="shared" ref="I9:I50" si="3">F9-G9</f>
        <v>481745000</v>
      </c>
      <c r="J9" s="64">
        <f t="shared" ref="J9:J50" si="4">F9/E9</f>
        <v>25000000</v>
      </c>
      <c r="Q9" s="60" t="s">
        <v>13</v>
      </c>
      <c r="R9" s="60" t="s">
        <v>9</v>
      </c>
      <c r="S9" s="64">
        <f t="shared" si="2"/>
        <v>20.283999999999999</v>
      </c>
      <c r="T9" s="64">
        <f t="shared" si="2"/>
        <v>605.49787671710533</v>
      </c>
      <c r="U9" s="64">
        <f t="shared" si="2"/>
        <v>150.33570078124998</v>
      </c>
      <c r="V9" s="64">
        <f t="shared" si="2"/>
        <v>183.98029621875</v>
      </c>
      <c r="W9" s="64">
        <f t="shared" si="2"/>
        <v>215.66829842499999</v>
      </c>
      <c r="X9" s="64">
        <f t="shared" si="2"/>
        <v>-90.577072725000022</v>
      </c>
      <c r="Y9" s="64">
        <f t="shared" si="2"/>
        <v>143.38989114285715</v>
      </c>
      <c r="Z9" s="64">
        <f t="shared" si="2"/>
        <v>102.66652509375</v>
      </c>
      <c r="AA9" s="64">
        <f t="shared" si="2"/>
        <v>56.323</v>
      </c>
      <c r="AB9" s="64">
        <f t="shared" si="2"/>
        <v>386.46155692857144</v>
      </c>
      <c r="AC9" s="64">
        <f t="shared" si="2"/>
        <v>96.081999999999994</v>
      </c>
      <c r="AD9" s="64">
        <f t="shared" si="2"/>
        <v>92.081980000000001</v>
      </c>
      <c r="AE9" s="64">
        <f t="shared" ref="AE9:AE16" si="5">SUM(S9:AD9)</f>
        <v>1962.1940525822838</v>
      </c>
      <c r="AF9" s="60" t="str">
        <f>VLOOKUP(Q9,Perbandingan!$B$8:$B$22,1,0)</f>
        <v>Steel Structure</v>
      </c>
    </row>
    <row r="10" spans="2:32" x14ac:dyDescent="0.35">
      <c r="B10" s="63">
        <v>1</v>
      </c>
      <c r="C10" s="63" t="s">
        <v>11</v>
      </c>
      <c r="D10" s="60" t="s">
        <v>20</v>
      </c>
      <c r="E10" s="64">
        <v>9.3000000000000007</v>
      </c>
      <c r="F10" s="64">
        <v>296250000</v>
      </c>
      <c r="G10" s="64">
        <v>13950000</v>
      </c>
      <c r="H10" s="65">
        <f t="shared" si="1"/>
        <v>4.7088607594936709E-2</v>
      </c>
      <c r="I10" s="64">
        <f t="shared" si="3"/>
        <v>282300000</v>
      </c>
      <c r="J10" s="64">
        <f t="shared" si="4"/>
        <v>31854838.709677417</v>
      </c>
      <c r="Q10" s="60" t="s">
        <v>20</v>
      </c>
      <c r="R10" s="60" t="s">
        <v>9</v>
      </c>
      <c r="S10" s="64">
        <f t="shared" si="2"/>
        <v>9.3000000000000007</v>
      </c>
      <c r="T10" s="64">
        <f t="shared" si="2"/>
        <v>12.4</v>
      </c>
      <c r="U10" s="64">
        <f t="shared" si="2"/>
        <v>0</v>
      </c>
      <c r="V10" s="64">
        <f t="shared" si="2"/>
        <v>0</v>
      </c>
      <c r="W10" s="64">
        <f t="shared" si="2"/>
        <v>0</v>
      </c>
      <c r="X10" s="64">
        <f t="shared" si="2"/>
        <v>0</v>
      </c>
      <c r="Y10" s="64">
        <f t="shared" si="2"/>
        <v>0</v>
      </c>
      <c r="Z10" s="64">
        <f t="shared" si="2"/>
        <v>0</v>
      </c>
      <c r="AA10" s="64">
        <f t="shared" si="2"/>
        <v>0</v>
      </c>
      <c r="AB10" s="64">
        <f t="shared" si="2"/>
        <v>0</v>
      </c>
      <c r="AC10" s="64">
        <f t="shared" si="2"/>
        <v>0</v>
      </c>
      <c r="AD10" s="64">
        <f t="shared" si="2"/>
        <v>0</v>
      </c>
      <c r="AE10" s="64">
        <f t="shared" si="5"/>
        <v>21.700000000000003</v>
      </c>
      <c r="AF10" s="60" t="str">
        <f>VLOOKUP(Q10,Perbandingan!$B$8:$B$22,1,0)</f>
        <v>Modular</v>
      </c>
    </row>
    <row r="11" spans="2:32" x14ac:dyDescent="0.35">
      <c r="B11" s="63">
        <v>1</v>
      </c>
      <c r="C11" s="63" t="s">
        <v>11</v>
      </c>
      <c r="D11" s="60" t="s">
        <v>32</v>
      </c>
      <c r="E11" s="64">
        <v>101.51039999999999</v>
      </c>
      <c r="F11" s="64">
        <v>2244321462.48</v>
      </c>
      <c r="G11" s="64">
        <v>199428000</v>
      </c>
      <c r="H11" s="65">
        <f t="shared" si="1"/>
        <v>8.8858928337133061E-2</v>
      </c>
      <c r="I11" s="64">
        <f t="shared" si="3"/>
        <v>2044893462.48</v>
      </c>
      <c r="J11" s="64">
        <f t="shared" si="4"/>
        <v>22109276.118309062</v>
      </c>
      <c r="Q11" s="60" t="s">
        <v>32</v>
      </c>
      <c r="R11" s="60" t="s">
        <v>9</v>
      </c>
      <c r="S11" s="64">
        <f t="shared" si="2"/>
        <v>101.51039999999999</v>
      </c>
      <c r="T11" s="64">
        <f t="shared" si="2"/>
        <v>164.10285789473687</v>
      </c>
      <c r="U11" s="64">
        <f t="shared" si="2"/>
        <v>503.70380526315796</v>
      </c>
      <c r="V11" s="64">
        <f t="shared" si="2"/>
        <v>24.8064</v>
      </c>
      <c r="W11" s="64">
        <f t="shared" si="2"/>
        <v>369.6506</v>
      </c>
      <c r="X11" s="64">
        <f t="shared" si="2"/>
        <v>16.5624</v>
      </c>
      <c r="Y11" s="64">
        <f t="shared" si="2"/>
        <v>263.46837799999986</v>
      </c>
      <c r="Z11" s="64">
        <f t="shared" si="2"/>
        <v>143.22262999999998</v>
      </c>
      <c r="AA11" s="64">
        <f t="shared" si="2"/>
        <v>475.58639999999997</v>
      </c>
      <c r="AB11" s="64">
        <f t="shared" si="2"/>
        <v>520.54669000000001</v>
      </c>
      <c r="AC11" s="64">
        <f t="shared" si="2"/>
        <v>654.79960000000005</v>
      </c>
      <c r="AD11" s="64">
        <f t="shared" si="2"/>
        <v>159.36362000000003</v>
      </c>
      <c r="AE11" s="64">
        <f t="shared" si="5"/>
        <v>3397.3237811578947</v>
      </c>
      <c r="AF11" s="60" t="str">
        <f>VLOOKUP(Q11,Perbandingan!$B$8:$B$22,1,0)</f>
        <v>Steel Component</v>
      </c>
    </row>
    <row r="12" spans="2:32" x14ac:dyDescent="0.35">
      <c r="B12" s="63">
        <v>1</v>
      </c>
      <c r="C12" s="63" t="s">
        <v>11</v>
      </c>
      <c r="D12" s="60" t="s">
        <v>70</v>
      </c>
      <c r="E12" s="64"/>
      <c r="F12" s="64"/>
      <c r="G12" s="64"/>
      <c r="H12" s="65">
        <f t="shared" si="1"/>
        <v>0</v>
      </c>
      <c r="I12" s="64">
        <f t="shared" si="3"/>
        <v>0</v>
      </c>
      <c r="J12" s="64" t="e">
        <f t="shared" si="4"/>
        <v>#DIV/0!</v>
      </c>
      <c r="Q12" s="60" t="s">
        <v>70</v>
      </c>
      <c r="R12" s="60" t="s">
        <v>9</v>
      </c>
      <c r="S12" s="64">
        <f t="shared" si="2"/>
        <v>0</v>
      </c>
      <c r="T12" s="64">
        <f t="shared" si="2"/>
        <v>0</v>
      </c>
      <c r="U12" s="64">
        <f t="shared" si="2"/>
        <v>0</v>
      </c>
      <c r="V12" s="64">
        <f t="shared" si="2"/>
        <v>0</v>
      </c>
      <c r="W12" s="64">
        <f t="shared" si="2"/>
        <v>0</v>
      </c>
      <c r="X12" s="64">
        <f t="shared" si="2"/>
        <v>0</v>
      </c>
      <c r="Y12" s="64">
        <f t="shared" si="2"/>
        <v>0</v>
      </c>
      <c r="Z12" s="64">
        <f t="shared" si="2"/>
        <v>0</v>
      </c>
      <c r="AA12" s="64">
        <f t="shared" si="2"/>
        <v>0</v>
      </c>
      <c r="AB12" s="64">
        <f t="shared" si="2"/>
        <v>0</v>
      </c>
      <c r="AC12" s="64">
        <f t="shared" si="2"/>
        <v>0</v>
      </c>
      <c r="AD12" s="64">
        <f t="shared" si="2"/>
        <v>0</v>
      </c>
      <c r="AE12" s="64">
        <f t="shared" si="5"/>
        <v>0</v>
      </c>
      <c r="AF12" s="60" t="str">
        <f>VLOOKUP(Q12,Perbandingan!$B$8:$B$22,1,0)</f>
        <v>Cut to Length</v>
      </c>
    </row>
    <row r="13" spans="2:32" x14ac:dyDescent="0.35">
      <c r="B13" s="63">
        <v>1</v>
      </c>
      <c r="C13" s="63" t="s">
        <v>14</v>
      </c>
      <c r="D13" s="60" t="s">
        <v>65</v>
      </c>
      <c r="E13" s="64">
        <v>64</v>
      </c>
      <c r="F13" s="64">
        <v>979039135</v>
      </c>
      <c r="G13" s="64">
        <v>15861300</v>
      </c>
      <c r="H13" s="65">
        <f>IF(E13=0,0,G13/F13)</f>
        <v>1.6200884554017341E-2</v>
      </c>
      <c r="I13" s="64">
        <f t="shared" si="3"/>
        <v>963177835</v>
      </c>
      <c r="J13" s="64">
        <f t="shared" si="4"/>
        <v>15297486.484375</v>
      </c>
      <c r="Q13" s="60" t="s">
        <v>65</v>
      </c>
      <c r="R13" s="60" t="s">
        <v>9</v>
      </c>
      <c r="S13" s="64">
        <f t="shared" si="2"/>
        <v>64</v>
      </c>
      <c r="T13" s="64">
        <f t="shared" si="2"/>
        <v>194</v>
      </c>
      <c r="U13" s="64">
        <f t="shared" si="2"/>
        <v>366</v>
      </c>
      <c r="V13" s="64">
        <f t="shared" si="2"/>
        <v>80.334000000000003</v>
      </c>
      <c r="W13" s="64">
        <f t="shared" si="2"/>
        <v>144.71799999999999</v>
      </c>
      <c r="X13" s="64">
        <f t="shared" si="2"/>
        <v>362.84199999999998</v>
      </c>
      <c r="Y13" s="64">
        <f t="shared" si="2"/>
        <v>300</v>
      </c>
      <c r="Z13" s="64">
        <f t="shared" si="2"/>
        <v>260.53300000000002</v>
      </c>
      <c r="AA13" s="64">
        <f t="shared" si="2"/>
        <v>98.74</v>
      </c>
      <c r="AB13" s="64">
        <f t="shared" si="2"/>
        <v>23.3</v>
      </c>
      <c r="AC13" s="64">
        <f t="shared" si="2"/>
        <v>362.04</v>
      </c>
      <c r="AD13" s="64">
        <f t="shared" si="2"/>
        <v>47.42</v>
      </c>
      <c r="AE13" s="64">
        <f t="shared" si="5"/>
        <v>2303.9270000000001</v>
      </c>
      <c r="AF13" s="60" t="str">
        <f>VLOOKUP(Q13,Perbandingan!$B$8:$B$22,1,0)</f>
        <v>Tiang Listrik</v>
      </c>
    </row>
    <row r="14" spans="2:32" x14ac:dyDescent="0.35">
      <c r="B14" s="63">
        <v>1</v>
      </c>
      <c r="C14" s="63" t="s">
        <v>14</v>
      </c>
      <c r="D14" s="60" t="s">
        <v>80</v>
      </c>
      <c r="E14" s="64"/>
      <c r="F14" s="64"/>
      <c r="G14" s="64"/>
      <c r="H14" s="65">
        <f>IF(E14=0,0,G14/F14)</f>
        <v>0</v>
      </c>
      <c r="I14" s="64">
        <f t="shared" si="3"/>
        <v>0</v>
      </c>
      <c r="J14" s="64" t="e">
        <f t="shared" si="4"/>
        <v>#DIV/0!</v>
      </c>
      <c r="Q14" s="60" t="s">
        <v>80</v>
      </c>
      <c r="R14" s="60" t="s">
        <v>9</v>
      </c>
      <c r="S14" s="64">
        <f t="shared" si="2"/>
        <v>0</v>
      </c>
      <c r="T14" s="64">
        <f t="shared" si="2"/>
        <v>0</v>
      </c>
      <c r="U14" s="64">
        <f t="shared" si="2"/>
        <v>0</v>
      </c>
      <c r="V14" s="64">
        <f t="shared" si="2"/>
        <v>0</v>
      </c>
      <c r="W14" s="64">
        <f t="shared" si="2"/>
        <v>0</v>
      </c>
      <c r="X14" s="64">
        <f t="shared" si="2"/>
        <v>0</v>
      </c>
      <c r="Y14" s="64">
        <f t="shared" si="2"/>
        <v>0</v>
      </c>
      <c r="Z14" s="64">
        <f t="shared" si="2"/>
        <v>0</v>
      </c>
      <c r="AA14" s="64">
        <f t="shared" si="2"/>
        <v>0</v>
      </c>
      <c r="AB14" s="64">
        <f t="shared" si="2"/>
        <v>0</v>
      </c>
      <c r="AC14" s="64">
        <f t="shared" si="2"/>
        <v>0</v>
      </c>
      <c r="AD14" s="64">
        <f t="shared" si="2"/>
        <v>0</v>
      </c>
      <c r="AE14" s="64">
        <f t="shared" si="5"/>
        <v>0</v>
      </c>
      <c r="AF14" s="60" t="str">
        <f>VLOOKUP(Q14,Perbandingan!$B$8:$B$22,1,0)</f>
        <v>Tiang FO / Telkom</v>
      </c>
    </row>
    <row r="15" spans="2:32" x14ac:dyDescent="0.35">
      <c r="B15" s="63">
        <v>1</v>
      </c>
      <c r="C15" s="63" t="s">
        <v>14</v>
      </c>
      <c r="D15" s="60" t="s">
        <v>15</v>
      </c>
      <c r="E15" s="64"/>
      <c r="F15" s="64"/>
      <c r="G15" s="64"/>
      <c r="H15" s="65">
        <f>IF(E15=0,0,G15/F15)</f>
        <v>0</v>
      </c>
      <c r="I15" s="64">
        <f t="shared" si="3"/>
        <v>0</v>
      </c>
      <c r="J15" s="64" t="e">
        <f t="shared" si="4"/>
        <v>#DIV/0!</v>
      </c>
      <c r="Q15" s="60" t="s">
        <v>15</v>
      </c>
      <c r="R15" s="60" t="s">
        <v>9</v>
      </c>
      <c r="S15" s="64">
        <f t="shared" si="2"/>
        <v>0</v>
      </c>
      <c r="T15" s="64">
        <f t="shared" si="2"/>
        <v>101</v>
      </c>
      <c r="U15" s="64">
        <f t="shared" si="2"/>
        <v>0</v>
      </c>
      <c r="V15" s="64">
        <f t="shared" si="2"/>
        <v>0</v>
      </c>
      <c r="W15" s="64">
        <f t="shared" si="2"/>
        <v>0</v>
      </c>
      <c r="X15" s="64">
        <f t="shared" si="2"/>
        <v>0</v>
      </c>
      <c r="Y15" s="64">
        <f t="shared" si="2"/>
        <v>0</v>
      </c>
      <c r="Z15" s="64">
        <f t="shared" si="2"/>
        <v>11</v>
      </c>
      <c r="AA15" s="64">
        <f t="shared" si="2"/>
        <v>0</v>
      </c>
      <c r="AB15" s="64">
        <f t="shared" si="2"/>
        <v>0</v>
      </c>
      <c r="AC15" s="64">
        <f t="shared" si="2"/>
        <v>0</v>
      </c>
      <c r="AD15" s="64">
        <f t="shared" si="2"/>
        <v>0</v>
      </c>
      <c r="AE15" s="64">
        <f t="shared" si="5"/>
        <v>112</v>
      </c>
      <c r="AF15" s="60" t="str">
        <f>VLOOKUP(Q15,Perbandingan!$B$8:$B$22,1,0)</f>
        <v>Pipe Bends</v>
      </c>
    </row>
    <row r="16" spans="2:32" ht="14.25" x14ac:dyDescent="0.45">
      <c r="B16" s="63">
        <v>1</v>
      </c>
      <c r="C16" s="63" t="s">
        <v>16</v>
      </c>
      <c r="D16" s="52" t="s">
        <v>66</v>
      </c>
      <c r="E16" s="64">
        <v>271.52937878878834</v>
      </c>
      <c r="F16" s="64">
        <v>4539854682.4099998</v>
      </c>
      <c r="G16" s="64">
        <v>68097820.236149997</v>
      </c>
      <c r="H16" s="65">
        <f t="shared" ref="H16:H26" si="6">IF(E16=0,0,G16/F16)</f>
        <v>1.4999999999999999E-2</v>
      </c>
      <c r="I16" s="64">
        <f t="shared" si="3"/>
        <v>4471756862.1738501</v>
      </c>
      <c r="J16" s="64">
        <f t="shared" si="4"/>
        <v>16719570.834879596</v>
      </c>
      <c r="Q16" s="60" t="s">
        <v>116</v>
      </c>
      <c r="R16" s="60" t="s">
        <v>9</v>
      </c>
      <c r="S16" s="64">
        <f t="shared" si="2"/>
        <v>0</v>
      </c>
      <c r="T16" s="64">
        <f t="shared" si="2"/>
        <v>998</v>
      </c>
      <c r="U16" s="64">
        <f t="shared" si="2"/>
        <v>0</v>
      </c>
      <c r="V16" s="64">
        <f t="shared" si="2"/>
        <v>0</v>
      </c>
      <c r="W16" s="64">
        <f t="shared" si="2"/>
        <v>1494.181</v>
      </c>
      <c r="X16" s="64">
        <f t="shared" si="2"/>
        <v>501.43200000000002</v>
      </c>
      <c r="Y16" s="64">
        <f t="shared" si="2"/>
        <v>0</v>
      </c>
      <c r="Z16" s="64">
        <f t="shared" si="2"/>
        <v>1069</v>
      </c>
      <c r="AA16" s="64">
        <f t="shared" si="2"/>
        <v>0</v>
      </c>
      <c r="AB16" s="64">
        <f t="shared" si="2"/>
        <v>2501.4789999999998</v>
      </c>
      <c r="AC16" s="64">
        <f t="shared" si="2"/>
        <v>1198.32</v>
      </c>
      <c r="AD16" s="64">
        <f t="shared" si="2"/>
        <v>3905.6010000000001</v>
      </c>
      <c r="AE16" s="64">
        <f t="shared" si="5"/>
        <v>11668.013000000001</v>
      </c>
      <c r="AF16" s="60" t="s">
        <v>116</v>
      </c>
    </row>
    <row r="17" spans="2:33" ht="14.25" x14ac:dyDescent="0.45">
      <c r="B17" s="63">
        <v>1</v>
      </c>
      <c r="C17" s="63" t="s">
        <v>16</v>
      </c>
      <c r="D17" s="52" t="s">
        <v>82</v>
      </c>
      <c r="E17" s="64"/>
      <c r="F17" s="64"/>
      <c r="G17" s="64"/>
      <c r="H17" s="65">
        <f t="shared" si="6"/>
        <v>0</v>
      </c>
      <c r="I17" s="64">
        <f t="shared" si="3"/>
        <v>0</v>
      </c>
      <c r="J17" s="64" t="e">
        <f t="shared" si="4"/>
        <v>#DIV/0!</v>
      </c>
      <c r="Q17" s="60" t="s">
        <v>66</v>
      </c>
      <c r="R17" s="60" t="s">
        <v>9</v>
      </c>
      <c r="S17" s="64">
        <f t="shared" si="2"/>
        <v>271.52937878878834</v>
      </c>
      <c r="T17" s="64">
        <f t="shared" si="2"/>
        <v>216.95636244011487</v>
      </c>
      <c r="U17" s="64">
        <f t="shared" si="2"/>
        <v>271.65959426004923</v>
      </c>
      <c r="V17" s="64">
        <f t="shared" si="2"/>
        <v>181.28800049999998</v>
      </c>
      <c r="W17" s="64">
        <f t="shared" si="2"/>
        <v>256.89910250000003</v>
      </c>
      <c r="X17" s="64">
        <f t="shared" si="2"/>
        <v>246.90428538022971</v>
      </c>
      <c r="Y17" s="64">
        <f t="shared" si="2"/>
        <v>377.35490148954051</v>
      </c>
      <c r="Z17" s="64">
        <f t="shared" si="2"/>
        <v>385.53194830024609</v>
      </c>
      <c r="AA17" s="64">
        <f t="shared" si="2"/>
        <v>297.3886445</v>
      </c>
      <c r="AB17" s="64">
        <f t="shared" si="2"/>
        <v>364.44071525000004</v>
      </c>
      <c r="AC17" s="64">
        <f t="shared" si="2"/>
        <v>415.21980149060715</v>
      </c>
      <c r="AD17" s="64">
        <f t="shared" si="2"/>
        <v>279.90684700000003</v>
      </c>
      <c r="AE17" s="64">
        <f t="shared" ref="AE17:AE22" si="7">SUM(S17:AD17)</f>
        <v>3565.0795818995757</v>
      </c>
      <c r="AF17" s="60" t="str">
        <f>VLOOKUP(Q17,Perbandingan!$B$8:$B$22,1,0)</f>
        <v>Baja Ringan</v>
      </c>
    </row>
    <row r="18" spans="2:33" ht="14.25" x14ac:dyDescent="0.45">
      <c r="B18" s="63">
        <v>1</v>
      </c>
      <c r="C18" s="63" t="s">
        <v>16</v>
      </c>
      <c r="D18" s="52" t="s">
        <v>69</v>
      </c>
      <c r="E18" s="64"/>
      <c r="F18" s="64"/>
      <c r="G18" s="64"/>
      <c r="H18" s="65">
        <f t="shared" si="6"/>
        <v>0</v>
      </c>
      <c r="I18" s="64">
        <f t="shared" si="3"/>
        <v>0</v>
      </c>
      <c r="J18" s="64" t="e">
        <f t="shared" si="4"/>
        <v>#DIV/0!</v>
      </c>
      <c r="Q18" s="60" t="s">
        <v>82</v>
      </c>
      <c r="R18" s="60" t="s">
        <v>9</v>
      </c>
      <c r="S18" s="64">
        <f t="shared" si="2"/>
        <v>0</v>
      </c>
      <c r="T18" s="64">
        <f t="shared" si="2"/>
        <v>0</v>
      </c>
      <c r="U18" s="64">
        <f t="shared" si="2"/>
        <v>0</v>
      </c>
      <c r="V18" s="64">
        <f t="shared" si="2"/>
        <v>0</v>
      </c>
      <c r="W18" s="64">
        <f t="shared" si="2"/>
        <v>0</v>
      </c>
      <c r="X18" s="64">
        <f t="shared" si="2"/>
        <v>0</v>
      </c>
      <c r="Y18" s="64">
        <f t="shared" si="2"/>
        <v>0</v>
      </c>
      <c r="Z18" s="64">
        <f t="shared" si="2"/>
        <v>0</v>
      </c>
      <c r="AA18" s="64">
        <f t="shared" si="2"/>
        <v>0</v>
      </c>
      <c r="AB18" s="64">
        <f t="shared" si="2"/>
        <v>0</v>
      </c>
      <c r="AC18" s="64">
        <f t="shared" si="2"/>
        <v>0</v>
      </c>
      <c r="AD18" s="64">
        <f t="shared" si="2"/>
        <v>0</v>
      </c>
      <c r="AE18" s="64">
        <f t="shared" si="7"/>
        <v>0</v>
      </c>
      <c r="AF18" s="60" t="e">
        <f>VLOOKUP(Q18,Perbandingan!$B$8:$B$22,1,0)</f>
        <v>#N/A</v>
      </c>
    </row>
    <row r="19" spans="2:33" ht="14.25" x14ac:dyDescent="0.45">
      <c r="B19" s="63">
        <v>1</v>
      </c>
      <c r="C19" s="63" t="s">
        <v>16</v>
      </c>
      <c r="D19" s="52" t="s">
        <v>67</v>
      </c>
      <c r="E19" s="64">
        <v>1.6759999999999999</v>
      </c>
      <c r="F19" s="64">
        <v>25936100</v>
      </c>
      <c r="G19" s="64">
        <v>5690020</v>
      </c>
      <c r="H19" s="65">
        <f t="shared" si="6"/>
        <v>0.21938610662358643</v>
      </c>
      <c r="I19" s="64">
        <f t="shared" si="3"/>
        <v>20246080</v>
      </c>
      <c r="J19" s="64">
        <f t="shared" si="4"/>
        <v>15475000</v>
      </c>
      <c r="Q19" s="60" t="s">
        <v>69</v>
      </c>
      <c r="R19" s="60" t="s">
        <v>9</v>
      </c>
      <c r="S19" s="64">
        <f t="shared" si="2"/>
        <v>0</v>
      </c>
      <c r="T19" s="64">
        <f t="shared" si="2"/>
        <v>0</v>
      </c>
      <c r="U19" s="64">
        <f t="shared" si="2"/>
        <v>0</v>
      </c>
      <c r="V19" s="64">
        <f t="shared" si="2"/>
        <v>0</v>
      </c>
      <c r="W19" s="64">
        <f t="shared" si="2"/>
        <v>0</v>
      </c>
      <c r="X19" s="64">
        <f t="shared" si="2"/>
        <v>0</v>
      </c>
      <c r="Y19" s="64">
        <f t="shared" si="2"/>
        <v>0</v>
      </c>
      <c r="Z19" s="64">
        <f t="shared" si="2"/>
        <v>0</v>
      </c>
      <c r="AA19" s="64">
        <f t="shared" si="2"/>
        <v>0</v>
      </c>
      <c r="AB19" s="64">
        <f t="shared" si="2"/>
        <v>0</v>
      </c>
      <c r="AC19" s="64">
        <f t="shared" si="2"/>
        <v>0</v>
      </c>
      <c r="AD19" s="64">
        <f t="shared" si="2"/>
        <v>0</v>
      </c>
      <c r="AE19" s="64">
        <f t="shared" si="7"/>
        <v>0</v>
      </c>
      <c r="AF19" s="60" t="str">
        <f>VLOOKUP(Q19,Perbandingan!$B$8:$B$22,1,0)</f>
        <v>Galvalum</v>
      </c>
    </row>
    <row r="20" spans="2:33" ht="14.25" x14ac:dyDescent="0.45">
      <c r="B20" s="63">
        <v>1</v>
      </c>
      <c r="C20" s="63" t="s">
        <v>16</v>
      </c>
      <c r="D20" s="52" t="s">
        <v>108</v>
      </c>
      <c r="E20" s="64">
        <v>71.335070000000002</v>
      </c>
      <c r="F20" s="64">
        <v>912630684.75</v>
      </c>
      <c r="G20" s="64">
        <v>44877780.506400011</v>
      </c>
      <c r="H20" s="65">
        <f t="shared" si="6"/>
        <v>4.9174086797983935E-2</v>
      </c>
      <c r="I20" s="64">
        <f t="shared" si="3"/>
        <v>867752904.24360001</v>
      </c>
      <c r="J20" s="64">
        <f t="shared" si="4"/>
        <v>12793576.634185681</v>
      </c>
      <c r="Q20" s="60" t="s">
        <v>67</v>
      </c>
      <c r="R20" s="60" t="s">
        <v>9</v>
      </c>
      <c r="S20" s="64">
        <f t="shared" si="2"/>
        <v>1.6759999999999999</v>
      </c>
      <c r="T20" s="64">
        <f t="shared" si="2"/>
        <v>3.0649999999999999</v>
      </c>
      <c r="U20" s="64">
        <f t="shared" si="2"/>
        <v>0</v>
      </c>
      <c r="V20" s="64">
        <f t="shared" si="2"/>
        <v>0</v>
      </c>
      <c r="W20" s="64">
        <f t="shared" si="2"/>
        <v>0</v>
      </c>
      <c r="X20" s="64">
        <f t="shared" si="2"/>
        <v>0</v>
      </c>
      <c r="Y20" s="64">
        <f t="shared" si="2"/>
        <v>0</v>
      </c>
      <c r="Z20" s="64">
        <f t="shared" si="2"/>
        <v>0.89739999999999998</v>
      </c>
      <c r="AA20" s="64">
        <f t="shared" si="2"/>
        <v>12.661</v>
      </c>
      <c r="AB20" s="64">
        <f t="shared" si="2"/>
        <v>111.056</v>
      </c>
      <c r="AC20" s="64">
        <f t="shared" si="2"/>
        <v>0</v>
      </c>
      <c r="AD20" s="64">
        <f t="shared" si="2"/>
        <v>7.867</v>
      </c>
      <c r="AE20" s="64">
        <f t="shared" si="7"/>
        <v>137.22239999999999</v>
      </c>
      <c r="AF20" s="60" t="str">
        <f>VLOOKUP(Q20,Perbandingan!$B$8:$B$22,1,0)</f>
        <v>CNP</v>
      </c>
    </row>
    <row r="21" spans="2:33" ht="14.25" x14ac:dyDescent="0.45">
      <c r="B21" s="63">
        <v>1</v>
      </c>
      <c r="C21" s="63" t="s">
        <v>21</v>
      </c>
      <c r="D21" s="52" t="s">
        <v>68</v>
      </c>
      <c r="E21" s="64"/>
      <c r="F21" s="64"/>
      <c r="G21" s="64"/>
      <c r="H21" s="65">
        <f t="shared" si="6"/>
        <v>0</v>
      </c>
      <c r="I21" s="64">
        <f t="shared" si="3"/>
        <v>0</v>
      </c>
      <c r="J21" s="64" t="e">
        <f t="shared" si="4"/>
        <v>#DIV/0!</v>
      </c>
      <c r="Q21" s="60" t="s">
        <v>108</v>
      </c>
      <c r="R21" s="60" t="s">
        <v>9</v>
      </c>
      <c r="S21" s="64">
        <f t="shared" si="2"/>
        <v>71.335070000000002</v>
      </c>
      <c r="T21" s="64">
        <f t="shared" si="2"/>
        <v>128.02979999999999</v>
      </c>
      <c r="U21" s="64">
        <f t="shared" si="2"/>
        <v>95.381</v>
      </c>
      <c r="V21" s="64">
        <f t="shared" si="2"/>
        <v>5.6553500000000003</v>
      </c>
      <c r="W21" s="64">
        <f t="shared" si="2"/>
        <v>0</v>
      </c>
      <c r="X21" s="64">
        <f t="shared" si="2"/>
        <v>0</v>
      </c>
      <c r="Y21" s="64">
        <f t="shared" si="2"/>
        <v>57.728999999999999</v>
      </c>
      <c r="Z21" s="64">
        <f t="shared" si="2"/>
        <v>273.20965000000001</v>
      </c>
      <c r="AA21" s="64">
        <f t="shared" si="2"/>
        <v>327.15540000000004</v>
      </c>
      <c r="AB21" s="64">
        <f t="shared" si="2"/>
        <v>607.54404</v>
      </c>
      <c r="AC21" s="64">
        <f t="shared" si="2"/>
        <v>622.26300000000003</v>
      </c>
      <c r="AD21" s="64">
        <f t="shared" si="2"/>
        <v>0</v>
      </c>
      <c r="AE21" s="64">
        <f t="shared" si="7"/>
        <v>2188.30231</v>
      </c>
      <c r="AF21" s="60" t="str">
        <f>VLOOKUP(Q21,Perbandingan!$B$8:$B$22,1,0)</f>
        <v>Lain-Lain KNI</v>
      </c>
    </row>
    <row r="22" spans="2:33" x14ac:dyDescent="0.35">
      <c r="B22" s="63">
        <v>2</v>
      </c>
      <c r="C22" s="63" t="s">
        <v>11</v>
      </c>
      <c r="D22" s="60" t="s">
        <v>12</v>
      </c>
      <c r="E22" s="64"/>
      <c r="F22" s="64"/>
      <c r="G22" s="64"/>
      <c r="H22" s="65">
        <f t="shared" si="6"/>
        <v>0</v>
      </c>
      <c r="I22" s="64">
        <f t="shared" si="3"/>
        <v>0</v>
      </c>
      <c r="J22" s="64" t="e">
        <f t="shared" si="4"/>
        <v>#DIV/0!</v>
      </c>
      <c r="Q22" s="60" t="s">
        <v>68</v>
      </c>
      <c r="R22" s="60" t="s">
        <v>9</v>
      </c>
      <c r="S22" s="64">
        <f t="shared" si="2"/>
        <v>0</v>
      </c>
      <c r="T22" s="64">
        <f t="shared" si="2"/>
        <v>0</v>
      </c>
      <c r="U22" s="64">
        <f t="shared" si="2"/>
        <v>0</v>
      </c>
      <c r="V22" s="64">
        <f t="shared" si="2"/>
        <v>0</v>
      </c>
      <c r="W22" s="64">
        <f t="shared" si="2"/>
        <v>0</v>
      </c>
      <c r="X22" s="64">
        <f t="shared" si="2"/>
        <v>0</v>
      </c>
      <c r="Y22" s="64">
        <f t="shared" si="2"/>
        <v>0</v>
      </c>
      <c r="Z22" s="64">
        <f t="shared" si="2"/>
        <v>0</v>
      </c>
      <c r="AA22" s="64">
        <f t="shared" si="2"/>
        <v>0</v>
      </c>
      <c r="AB22" s="64">
        <f t="shared" si="2"/>
        <v>0</v>
      </c>
      <c r="AC22" s="64">
        <f t="shared" si="2"/>
        <v>0</v>
      </c>
      <c r="AD22" s="64">
        <f t="shared" si="2"/>
        <v>0</v>
      </c>
      <c r="AE22" s="64">
        <f t="shared" si="7"/>
        <v>0</v>
      </c>
      <c r="AF22" s="60" t="str">
        <f>VLOOKUP(Q22,Perbandingan!$B$8:$B$22,1,0)</f>
        <v>Welded Beam &amp; Custom Product</v>
      </c>
    </row>
    <row r="23" spans="2:33" ht="14.25" hidden="1" x14ac:dyDescent="0.45">
      <c r="B23" s="63">
        <f>$B$22</f>
        <v>2</v>
      </c>
      <c r="C23" s="63" t="s">
        <v>11</v>
      </c>
      <c r="D23" s="60" t="s">
        <v>13</v>
      </c>
      <c r="E23" s="64">
        <v>605.49787671710533</v>
      </c>
      <c r="F23" s="64">
        <v>12675111281</v>
      </c>
      <c r="G23" s="64">
        <v>605497876.71710527</v>
      </c>
      <c r="H23" s="65">
        <f t="shared" si="6"/>
        <v>4.7770616233148738E-2</v>
      </c>
      <c r="I23" s="64">
        <f t="shared" si="3"/>
        <v>12069613404.282894</v>
      </c>
      <c r="J23" s="64">
        <f t="shared" si="4"/>
        <v>20933370.319516312</v>
      </c>
      <c r="Q23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 spans="2:33" ht="15.75" x14ac:dyDescent="0.5">
      <c r="B24" s="63">
        <f t="shared" ref="B24:B36" si="8">$B$22</f>
        <v>2</v>
      </c>
      <c r="C24" s="63" t="s">
        <v>11</v>
      </c>
      <c r="D24" s="60" t="s">
        <v>20</v>
      </c>
      <c r="E24" s="64">
        <v>12.4</v>
      </c>
      <c r="F24" s="64">
        <v>395000000</v>
      </c>
      <c r="G24" s="64">
        <v>12400000</v>
      </c>
      <c r="H24" s="65">
        <f t="shared" si="6"/>
        <v>3.1392405063291141E-2</v>
      </c>
      <c r="I24" s="64">
        <f t="shared" si="3"/>
        <v>382600000</v>
      </c>
      <c r="J24" s="64">
        <f t="shared" si="4"/>
        <v>31854838.709677417</v>
      </c>
      <c r="Q24" s="108" t="s">
        <v>23</v>
      </c>
      <c r="R24" s="108" t="s">
        <v>9</v>
      </c>
      <c r="S24" s="108">
        <f>SUM(S8:S23)</f>
        <v>551.86478878878836</v>
      </c>
      <c r="T24" s="108">
        <f t="shared" ref="T24:AE24" si="9">SUM(T8:T23)</f>
        <v>2423.051897051957</v>
      </c>
      <c r="U24" s="108">
        <f t="shared" si="9"/>
        <v>1414.3837203044573</v>
      </c>
      <c r="V24" s="108">
        <f t="shared" si="9"/>
        <v>476.06404671874998</v>
      </c>
      <c r="W24" s="108">
        <f t="shared" si="9"/>
        <v>2488.6600009250001</v>
      </c>
      <c r="X24" s="108">
        <f t="shared" si="9"/>
        <v>1037.1636126552298</v>
      </c>
      <c r="Y24" s="108">
        <f t="shared" si="9"/>
        <v>1141.9421706323976</v>
      </c>
      <c r="Z24" s="108">
        <f t="shared" si="9"/>
        <v>2246.0611533939964</v>
      </c>
      <c r="AA24" s="108">
        <f t="shared" si="9"/>
        <v>1267.8544445</v>
      </c>
      <c r="AB24" s="108">
        <f t="shared" si="9"/>
        <v>4514.8280021785713</v>
      </c>
      <c r="AC24" s="108">
        <f t="shared" si="9"/>
        <v>3348.7244014906073</v>
      </c>
      <c r="AD24" s="108">
        <f t="shared" si="9"/>
        <v>4492.2404470000001</v>
      </c>
      <c r="AE24" s="108">
        <f t="shared" si="9"/>
        <v>25402.838685639756</v>
      </c>
    </row>
    <row r="25" spans="2:33" ht="14.25" x14ac:dyDescent="0.45">
      <c r="B25" s="63">
        <f t="shared" si="8"/>
        <v>2</v>
      </c>
      <c r="C25" s="63" t="s">
        <v>11</v>
      </c>
      <c r="D25" s="60" t="s">
        <v>32</v>
      </c>
      <c r="E25" s="64">
        <v>164.10285789473687</v>
      </c>
      <c r="F25" s="64">
        <v>2438531118.8000002</v>
      </c>
      <c r="G25" s="64">
        <v>356298157.89473683</v>
      </c>
      <c r="H25" s="65">
        <f t="shared" si="6"/>
        <v>0.14611179457495335</v>
      </c>
      <c r="I25" s="64">
        <f t="shared" si="3"/>
        <v>2082232960.9052634</v>
      </c>
      <c r="J25" s="64">
        <f t="shared" si="4"/>
        <v>14859772.401795624</v>
      </c>
      <c r="Q25"/>
    </row>
    <row r="26" spans="2:33" ht="14.25" x14ac:dyDescent="0.45">
      <c r="B26" s="63">
        <f t="shared" si="8"/>
        <v>2</v>
      </c>
      <c r="C26" s="63" t="s">
        <v>11</v>
      </c>
      <c r="D26" s="60" t="s">
        <v>70</v>
      </c>
      <c r="E26" s="64"/>
      <c r="F26" s="64"/>
      <c r="G26" s="64"/>
      <c r="H26" s="65">
        <f t="shared" si="6"/>
        <v>0</v>
      </c>
      <c r="I26" s="64">
        <f t="shared" si="3"/>
        <v>0</v>
      </c>
      <c r="J26" s="64" t="e">
        <f t="shared" si="4"/>
        <v>#DIV/0!</v>
      </c>
      <c r="Q26"/>
    </row>
    <row r="27" spans="2:33" ht="15.75" x14ac:dyDescent="0.5">
      <c r="B27" s="63">
        <f t="shared" si="8"/>
        <v>2</v>
      </c>
      <c r="C27" s="63" t="s">
        <v>14</v>
      </c>
      <c r="D27" s="60" t="s">
        <v>65</v>
      </c>
      <c r="E27" s="64">
        <v>194</v>
      </c>
      <c r="F27" s="64">
        <v>3350711687</v>
      </c>
      <c r="G27" s="64">
        <v>48398130</v>
      </c>
      <c r="H27" s="65">
        <f>IF(E27=0,0,G27/F27)</f>
        <v>1.4444134417107192E-2</v>
      </c>
      <c r="I27" s="64">
        <f t="shared" si="3"/>
        <v>3302313557</v>
      </c>
      <c r="J27" s="64">
        <f t="shared" si="4"/>
        <v>17271709.726804122</v>
      </c>
      <c r="Q27" s="107" t="s">
        <v>55</v>
      </c>
      <c r="R27" s="107"/>
      <c r="S27" s="107" t="s">
        <v>24</v>
      </c>
      <c r="T27" s="107" t="s">
        <v>25</v>
      </c>
      <c r="U27" s="107" t="s">
        <v>26</v>
      </c>
      <c r="V27" s="107" t="s">
        <v>27</v>
      </c>
      <c r="W27" s="107" t="s">
        <v>28</v>
      </c>
      <c r="X27" s="107" t="s">
        <v>33</v>
      </c>
      <c r="Y27" s="107" t="s">
        <v>44</v>
      </c>
      <c r="Z27" s="107" t="s">
        <v>83</v>
      </c>
      <c r="AA27" s="107" t="s">
        <v>84</v>
      </c>
      <c r="AB27" s="107" t="s">
        <v>46</v>
      </c>
      <c r="AC27" s="107" t="s">
        <v>47</v>
      </c>
      <c r="AD27" s="107" t="s">
        <v>48</v>
      </c>
      <c r="AE27" s="107" t="s">
        <v>23</v>
      </c>
      <c r="AF27" s="107" t="s">
        <v>118</v>
      </c>
      <c r="AG27" s="107" t="s">
        <v>5</v>
      </c>
    </row>
    <row r="28" spans="2:33" x14ac:dyDescent="0.35">
      <c r="B28" s="63">
        <f t="shared" si="8"/>
        <v>2</v>
      </c>
      <c r="C28" s="63" t="s">
        <v>14</v>
      </c>
      <c r="D28" s="60" t="s">
        <v>80</v>
      </c>
      <c r="E28" s="64"/>
      <c r="F28" s="64"/>
      <c r="G28" s="64"/>
      <c r="H28" s="65">
        <f>IF(E28=0,0,G28/F28)</f>
        <v>0</v>
      </c>
      <c r="I28" s="64">
        <f t="shared" si="3"/>
        <v>0</v>
      </c>
      <c r="J28" s="64" t="e">
        <f t="shared" si="4"/>
        <v>#DIV/0!</v>
      </c>
      <c r="Q28" s="60" t="s">
        <v>11</v>
      </c>
      <c r="R28" s="60" t="s">
        <v>9</v>
      </c>
      <c r="S28" s="64">
        <f t="shared" ref="S28:AD31" si="10">SUMIFS($E:$E,$C:$C,$Q28,$B:$B,S$5)</f>
        <v>143.32434000000001</v>
      </c>
      <c r="T28" s="64">
        <f t="shared" si="10"/>
        <v>782.00073461184218</v>
      </c>
      <c r="U28" s="64">
        <f t="shared" si="10"/>
        <v>681.34312604440788</v>
      </c>
      <c r="V28" s="64">
        <f t="shared" si="10"/>
        <v>208.78669621875</v>
      </c>
      <c r="W28" s="64">
        <f t="shared" si="10"/>
        <v>592.86189842499994</v>
      </c>
      <c r="X28" s="64">
        <f t="shared" si="10"/>
        <v>-74.014672725000025</v>
      </c>
      <c r="Y28" s="64">
        <f t="shared" si="10"/>
        <v>406.85826914285701</v>
      </c>
      <c r="Z28" s="64">
        <f t="shared" si="10"/>
        <v>245.88915509374999</v>
      </c>
      <c r="AA28" s="64">
        <f t="shared" si="10"/>
        <v>531.90940000000001</v>
      </c>
      <c r="AB28" s="64">
        <f t="shared" si="10"/>
        <v>907.00824692857145</v>
      </c>
      <c r="AC28" s="64">
        <f t="shared" si="10"/>
        <v>750.88160000000005</v>
      </c>
      <c r="AD28" s="64">
        <f t="shared" si="10"/>
        <v>251.44560000000001</v>
      </c>
      <c r="AE28" s="64">
        <f>SUM(S28:AD28)</f>
        <v>5428.2943937401787</v>
      </c>
      <c r="AF28" s="64">
        <f>SUM('Target Hilirisasi 2025'!E9:P9)</f>
        <v>25000</v>
      </c>
      <c r="AG28" s="104">
        <f>AE28/AF28</f>
        <v>0.21713177574960715</v>
      </c>
    </row>
    <row r="29" spans="2:33" x14ac:dyDescent="0.35">
      <c r="B29" s="63">
        <f t="shared" si="8"/>
        <v>2</v>
      </c>
      <c r="C29" s="63" t="s">
        <v>14</v>
      </c>
      <c r="D29" s="60" t="s">
        <v>15</v>
      </c>
      <c r="E29" s="64">
        <v>101</v>
      </c>
      <c r="F29" s="64">
        <v>7914861631</v>
      </c>
      <c r="G29" s="64">
        <v>2642350040</v>
      </c>
      <c r="H29" s="65">
        <f>IF(E29=0,0,G29/F29)</f>
        <v>0.33384664990866725</v>
      </c>
      <c r="I29" s="64">
        <f t="shared" si="3"/>
        <v>5272511591</v>
      </c>
      <c r="J29" s="64">
        <f t="shared" si="4"/>
        <v>78364966.643564358</v>
      </c>
      <c r="Q29" s="60" t="s">
        <v>14</v>
      </c>
      <c r="R29" s="60" t="s">
        <v>9</v>
      </c>
      <c r="S29" s="64">
        <f t="shared" si="10"/>
        <v>64</v>
      </c>
      <c r="T29" s="64">
        <f t="shared" si="10"/>
        <v>1293</v>
      </c>
      <c r="U29" s="64">
        <f t="shared" si="10"/>
        <v>366</v>
      </c>
      <c r="V29" s="64">
        <f t="shared" si="10"/>
        <v>80.334000000000003</v>
      </c>
      <c r="W29" s="64">
        <f t="shared" si="10"/>
        <v>1638.8990000000001</v>
      </c>
      <c r="X29" s="64">
        <f t="shared" si="10"/>
        <v>864.274</v>
      </c>
      <c r="Y29" s="64">
        <f t="shared" si="10"/>
        <v>300</v>
      </c>
      <c r="Z29" s="64">
        <f t="shared" si="10"/>
        <v>1340.5329999999999</v>
      </c>
      <c r="AA29" s="64">
        <f t="shared" si="10"/>
        <v>98.74</v>
      </c>
      <c r="AB29" s="64">
        <f t="shared" si="10"/>
        <v>2524.779</v>
      </c>
      <c r="AC29" s="64">
        <f t="shared" si="10"/>
        <v>1560.36</v>
      </c>
      <c r="AD29" s="64">
        <f t="shared" si="10"/>
        <v>3953.0210000000002</v>
      </c>
      <c r="AE29" s="64">
        <f t="shared" ref="AE29" si="11">SUM(S29:AD29)</f>
        <v>14083.940000000002</v>
      </c>
      <c r="AF29" s="64">
        <f>SUM('Target Hilirisasi 2025'!E10:P10)</f>
        <v>6804</v>
      </c>
      <c r="AG29" s="104">
        <f t="shared" ref="AG29:AG34" si="12">AE29/AF29</f>
        <v>2.0699500293944744</v>
      </c>
    </row>
    <row r="30" spans="2:33" x14ac:dyDescent="0.35">
      <c r="B30" s="63">
        <f t="shared" si="8"/>
        <v>2</v>
      </c>
      <c r="C30" s="63" t="s">
        <v>14</v>
      </c>
      <c r="D30" s="60" t="s">
        <v>116</v>
      </c>
      <c r="E30" s="64">
        <v>998</v>
      </c>
      <c r="F30" s="64">
        <v>14078574228</v>
      </c>
      <c r="G30" s="64">
        <v>2994405000</v>
      </c>
      <c r="H30" s="65">
        <f>IF(E30=0,0,G30/F30)</f>
        <v>0.21269234735749123</v>
      </c>
      <c r="I30" s="64">
        <f t="shared" si="3"/>
        <v>11084169228</v>
      </c>
      <c r="J30" s="64">
        <f t="shared" si="4"/>
        <v>14106787.803607214</v>
      </c>
      <c r="Q30" s="60" t="s">
        <v>16</v>
      </c>
      <c r="R30" s="60" t="s">
        <v>9</v>
      </c>
      <c r="S30" s="64">
        <f t="shared" si="10"/>
        <v>344.54044878878835</v>
      </c>
      <c r="T30" s="64">
        <f t="shared" si="10"/>
        <v>348.05116244011487</v>
      </c>
      <c r="U30" s="64">
        <f t="shared" si="10"/>
        <v>367.04059426004926</v>
      </c>
      <c r="V30" s="64">
        <f t="shared" si="10"/>
        <v>186.94335049999998</v>
      </c>
      <c r="W30" s="64">
        <f t="shared" si="10"/>
        <v>256.89910250000003</v>
      </c>
      <c r="X30" s="64">
        <f t="shared" si="10"/>
        <v>246.90428538022971</v>
      </c>
      <c r="Y30" s="64">
        <f t="shared" si="10"/>
        <v>435.08390148954049</v>
      </c>
      <c r="Z30" s="64">
        <f t="shared" si="10"/>
        <v>659.63899830024616</v>
      </c>
      <c r="AA30" s="64">
        <f t="shared" si="10"/>
        <v>637.20504449999999</v>
      </c>
      <c r="AB30" s="64">
        <f t="shared" si="10"/>
        <v>1083.0407552500001</v>
      </c>
      <c r="AC30" s="64">
        <f t="shared" si="10"/>
        <v>1037.4828014906072</v>
      </c>
      <c r="AD30" s="64">
        <f t="shared" si="10"/>
        <v>287.77384700000005</v>
      </c>
      <c r="AE30" s="64">
        <f>SUM(S30:AD30)</f>
        <v>5890.6042918995772</v>
      </c>
      <c r="AF30" s="64">
        <f>SUM('Target Hilirisasi 2025'!E11:P11)</f>
        <v>5000</v>
      </c>
      <c r="AG30" s="104">
        <f t="shared" si="12"/>
        <v>1.1781208583799154</v>
      </c>
    </row>
    <row r="31" spans="2:33" ht="14.25" hidden="1" x14ac:dyDescent="0.45">
      <c r="B31" s="63">
        <f t="shared" si="8"/>
        <v>2</v>
      </c>
      <c r="C31" s="63" t="s">
        <v>16</v>
      </c>
      <c r="D31" s="52" t="s">
        <v>66</v>
      </c>
      <c r="E31" s="64">
        <v>216.95636244011487</v>
      </c>
      <c r="F31" s="64">
        <v>3717059850.6862583</v>
      </c>
      <c r="G31" s="64">
        <v>54931918.975658618</v>
      </c>
      <c r="H31" s="65">
        <f t="shared" ref="H31:H55" si="13">IF(E31=0,0,G31/F31)</f>
        <v>1.477832512315261E-2</v>
      </c>
      <c r="I31" s="64">
        <f t="shared" si="3"/>
        <v>3662127931.7105999</v>
      </c>
      <c r="J31" s="64">
        <f t="shared" si="4"/>
        <v>17132753.374366954</v>
      </c>
      <c r="Q31" s="60" t="s">
        <v>21</v>
      </c>
      <c r="R31" s="60" t="s">
        <v>9</v>
      </c>
      <c r="S31" s="64">
        <f t="shared" si="10"/>
        <v>0</v>
      </c>
      <c r="T31" s="64">
        <f t="shared" si="10"/>
        <v>0</v>
      </c>
      <c r="U31" s="64">
        <f t="shared" si="10"/>
        <v>0</v>
      </c>
      <c r="V31" s="64">
        <f t="shared" si="10"/>
        <v>0</v>
      </c>
      <c r="W31" s="64">
        <f t="shared" si="10"/>
        <v>0</v>
      </c>
      <c r="X31" s="64">
        <f t="shared" si="10"/>
        <v>0</v>
      </c>
      <c r="Y31" s="64">
        <f t="shared" si="10"/>
        <v>0</v>
      </c>
      <c r="Z31" s="64">
        <f t="shared" si="10"/>
        <v>0</v>
      </c>
      <c r="AA31" s="64">
        <f t="shared" si="10"/>
        <v>0</v>
      </c>
      <c r="AB31" s="64">
        <f t="shared" si="10"/>
        <v>0</v>
      </c>
      <c r="AC31" s="64">
        <f t="shared" si="10"/>
        <v>0</v>
      </c>
      <c r="AD31" s="64">
        <f t="shared" si="10"/>
        <v>0</v>
      </c>
      <c r="AE31" s="64">
        <f>SUM(S31:AD31)</f>
        <v>0</v>
      </c>
      <c r="AF31" s="64"/>
      <c r="AG31" s="104" t="e">
        <f t="shared" si="12"/>
        <v>#DIV/0!</v>
      </c>
    </row>
    <row r="32" spans="2:33" ht="14.25" hidden="1" x14ac:dyDescent="0.45">
      <c r="B32" s="63">
        <f t="shared" si="8"/>
        <v>2</v>
      </c>
      <c r="C32" s="63" t="s">
        <v>16</v>
      </c>
      <c r="D32" s="52" t="s">
        <v>82</v>
      </c>
      <c r="E32" s="64"/>
      <c r="F32" s="64"/>
      <c r="G32" s="64"/>
      <c r="H32" s="65">
        <f t="shared" si="13"/>
        <v>0</v>
      </c>
      <c r="I32" s="64">
        <f t="shared" si="3"/>
        <v>0</v>
      </c>
      <c r="J32" s="64" t="e">
        <f t="shared" si="4"/>
        <v>#DIV/0!</v>
      </c>
      <c r="S32" s="60"/>
      <c r="AE32" s="60"/>
      <c r="AG32" s="105" t="e">
        <f t="shared" si="12"/>
        <v>#DIV/0!</v>
      </c>
    </row>
    <row r="33" spans="2:33" ht="14.25" hidden="1" x14ac:dyDescent="0.45">
      <c r="B33" s="63">
        <f t="shared" si="8"/>
        <v>2</v>
      </c>
      <c r="C33" s="63" t="s">
        <v>16</v>
      </c>
      <c r="D33" s="52" t="s">
        <v>69</v>
      </c>
      <c r="E33" s="64"/>
      <c r="F33" s="64"/>
      <c r="G33" s="64"/>
      <c r="H33" s="65">
        <f t="shared" si="13"/>
        <v>0</v>
      </c>
      <c r="I33" s="64">
        <f t="shared" si="3"/>
        <v>0</v>
      </c>
      <c r="J33" s="64" t="e">
        <f t="shared" si="4"/>
        <v>#DIV/0!</v>
      </c>
      <c r="AF33" s="64"/>
      <c r="AG33" s="104" t="e">
        <f t="shared" si="12"/>
        <v>#DIV/0!</v>
      </c>
    </row>
    <row r="34" spans="2:33" ht="15.75" x14ac:dyDescent="0.5">
      <c r="B34" s="63">
        <f t="shared" si="8"/>
        <v>2</v>
      </c>
      <c r="C34" s="63" t="s">
        <v>16</v>
      </c>
      <c r="D34" s="52" t="s">
        <v>67</v>
      </c>
      <c r="E34" s="64">
        <v>3.0649999999999999</v>
      </c>
      <c r="F34" s="64">
        <v>38651610</v>
      </c>
      <c r="G34" s="64">
        <v>3514189</v>
      </c>
      <c r="H34" s="65">
        <f t="shared" si="13"/>
        <v>9.0919602055386572E-2</v>
      </c>
      <c r="I34" s="64">
        <f t="shared" si="3"/>
        <v>35137421</v>
      </c>
      <c r="J34" s="64">
        <f t="shared" si="4"/>
        <v>12610639.477977162</v>
      </c>
      <c r="Q34" s="108" t="s">
        <v>23</v>
      </c>
      <c r="R34" s="108" t="s">
        <v>9</v>
      </c>
      <c r="S34" s="108">
        <f t="shared" ref="S34:AE34" si="14">SUM(S28:S33)</f>
        <v>551.86478878878836</v>
      </c>
      <c r="T34" s="108">
        <f t="shared" si="14"/>
        <v>2423.051897051957</v>
      </c>
      <c r="U34" s="108">
        <f t="shared" si="14"/>
        <v>1414.3837203044573</v>
      </c>
      <c r="V34" s="108">
        <f t="shared" si="14"/>
        <v>476.06404671874998</v>
      </c>
      <c r="W34" s="108">
        <f t="shared" si="14"/>
        <v>2488.6600009250001</v>
      </c>
      <c r="X34" s="108">
        <f t="shared" si="14"/>
        <v>1037.1636126552298</v>
      </c>
      <c r="Y34" s="108">
        <f t="shared" si="14"/>
        <v>1141.9421706323974</v>
      </c>
      <c r="Z34" s="108">
        <f t="shared" si="14"/>
        <v>2246.0611533939964</v>
      </c>
      <c r="AA34" s="108">
        <f t="shared" si="14"/>
        <v>1267.8544445</v>
      </c>
      <c r="AB34" s="108">
        <f t="shared" si="14"/>
        <v>4514.8280021785713</v>
      </c>
      <c r="AC34" s="108">
        <f t="shared" si="14"/>
        <v>3348.7244014906073</v>
      </c>
      <c r="AD34" s="108">
        <f t="shared" si="14"/>
        <v>4492.2404470000001</v>
      </c>
      <c r="AE34" s="108">
        <f t="shared" si="14"/>
        <v>25402.838685639759</v>
      </c>
      <c r="AF34" s="108">
        <f>SUM(AF28:AF33)</f>
        <v>36804</v>
      </c>
      <c r="AG34" s="109">
        <f t="shared" si="12"/>
        <v>0.69021950564177148</v>
      </c>
    </row>
    <row r="35" spans="2:33" ht="14.25" hidden="1" x14ac:dyDescent="0.45">
      <c r="B35" s="63">
        <f t="shared" si="8"/>
        <v>2</v>
      </c>
      <c r="C35" s="63" t="s">
        <v>16</v>
      </c>
      <c r="D35" s="52" t="s">
        <v>108</v>
      </c>
      <c r="E35" s="64">
        <v>128.02979999999999</v>
      </c>
      <c r="F35" s="64">
        <v>1888065028</v>
      </c>
      <c r="G35" s="64">
        <v>195964576</v>
      </c>
      <c r="H35" s="65">
        <f t="shared" si="13"/>
        <v>0.10379122175022883</v>
      </c>
      <c r="I35" s="64">
        <f t="shared" si="3"/>
        <v>1692100452</v>
      </c>
      <c r="J35" s="64">
        <f t="shared" si="4"/>
        <v>14747074.727914907</v>
      </c>
      <c r="Q35" s="106"/>
      <c r="R35" s="106"/>
      <c r="S35" s="7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76"/>
      <c r="AF35" s="106"/>
      <c r="AG35" s="106"/>
    </row>
    <row r="36" spans="2:33" ht="14.25" hidden="1" x14ac:dyDescent="0.45">
      <c r="B36" s="63">
        <f t="shared" si="8"/>
        <v>2</v>
      </c>
      <c r="C36" s="63" t="s">
        <v>21</v>
      </c>
      <c r="D36" s="52" t="s">
        <v>68</v>
      </c>
      <c r="E36" s="64"/>
      <c r="F36" s="64"/>
      <c r="G36" s="64"/>
      <c r="H36" s="65">
        <f t="shared" si="13"/>
        <v>0</v>
      </c>
      <c r="I36" s="64">
        <f t="shared" si="3"/>
        <v>0</v>
      </c>
      <c r="J36" s="64" t="e">
        <f t="shared" si="4"/>
        <v>#DIV/0!</v>
      </c>
      <c r="Q36" s="106"/>
      <c r="R36" s="106"/>
      <c r="S36" s="7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76"/>
      <c r="AF36" s="106"/>
      <c r="AG36" s="106"/>
    </row>
    <row r="37" spans="2:33" ht="14.25" x14ac:dyDescent="0.45">
      <c r="B37" s="63">
        <v>3</v>
      </c>
      <c r="C37" s="63" t="s">
        <v>11</v>
      </c>
      <c r="D37" s="60" t="s">
        <v>12</v>
      </c>
      <c r="E37" s="64">
        <v>27.303619999999995</v>
      </c>
      <c r="F37" s="64">
        <v>646391564</v>
      </c>
      <c r="G37" s="64">
        <v>54607240</v>
      </c>
      <c r="H37" s="65">
        <f t="shared" si="13"/>
        <v>8.4480124805589196E-2</v>
      </c>
      <c r="I37" s="60">
        <f t="shared" si="3"/>
        <v>591784324</v>
      </c>
      <c r="J37" s="64">
        <f t="shared" si="4"/>
        <v>23674207.449415136</v>
      </c>
      <c r="AF37"/>
      <c r="AG37"/>
    </row>
    <row r="38" spans="2:33" x14ac:dyDescent="0.35">
      <c r="B38" s="63">
        <v>3</v>
      </c>
      <c r="C38" s="63" t="s">
        <v>11</v>
      </c>
      <c r="D38" s="60" t="s">
        <v>13</v>
      </c>
      <c r="E38" s="64">
        <v>150.33570078124998</v>
      </c>
      <c r="F38" s="64">
        <v>2588842425</v>
      </c>
      <c r="G38" s="64">
        <v>164116042.5</v>
      </c>
      <c r="H38" s="65">
        <f t="shared" si="13"/>
        <v>6.3393600520124355E-2</v>
      </c>
      <c r="I38" s="64">
        <f t="shared" si="3"/>
        <v>2424726382.5</v>
      </c>
      <c r="J38" s="64">
        <f t="shared" si="4"/>
        <v>17220410.132433977</v>
      </c>
    </row>
    <row r="39" spans="2:33" ht="15.75" x14ac:dyDescent="0.5">
      <c r="B39" s="63">
        <v>3</v>
      </c>
      <c r="C39" s="63" t="s">
        <v>11</v>
      </c>
      <c r="D39" s="60" t="s">
        <v>20</v>
      </c>
      <c r="E39" s="64"/>
      <c r="F39" s="64"/>
      <c r="G39" s="64"/>
      <c r="H39" s="65">
        <f t="shared" si="13"/>
        <v>0</v>
      </c>
      <c r="I39" s="64">
        <f t="shared" si="3"/>
        <v>0</v>
      </c>
      <c r="J39" s="64" t="e">
        <f t="shared" si="4"/>
        <v>#DIV/0!</v>
      </c>
      <c r="Q39" s="107" t="s">
        <v>97</v>
      </c>
      <c r="R39" s="107"/>
      <c r="S39" s="107" t="s">
        <v>24</v>
      </c>
      <c r="T39" s="107" t="s">
        <v>25</v>
      </c>
      <c r="U39" s="107" t="s">
        <v>26</v>
      </c>
      <c r="V39" s="107" t="s">
        <v>27</v>
      </c>
      <c r="W39" s="107" t="s">
        <v>28</v>
      </c>
      <c r="X39" s="107" t="s">
        <v>33</v>
      </c>
      <c r="Y39" s="107" t="s">
        <v>44</v>
      </c>
      <c r="Z39" s="107" t="s">
        <v>83</v>
      </c>
      <c r="AA39" s="107" t="s">
        <v>84</v>
      </c>
      <c r="AB39" s="107" t="s">
        <v>46</v>
      </c>
      <c r="AC39" s="107" t="s">
        <v>47</v>
      </c>
      <c r="AD39" s="107" t="s">
        <v>48</v>
      </c>
      <c r="AE39" s="107" t="s">
        <v>23</v>
      </c>
    </row>
    <row r="40" spans="2:33" x14ac:dyDescent="0.35">
      <c r="B40" s="63">
        <v>3</v>
      </c>
      <c r="C40" s="63" t="s">
        <v>11</v>
      </c>
      <c r="D40" s="60" t="s">
        <v>32</v>
      </c>
      <c r="E40" s="64">
        <v>503.70380526315796</v>
      </c>
      <c r="F40" s="64">
        <v>3577819941.8000002</v>
      </c>
      <c r="G40" s="64">
        <v>449621928.29000002</v>
      </c>
      <c r="H40" s="65">
        <f t="shared" si="13"/>
        <v>0.12566924428952547</v>
      </c>
      <c r="I40" s="64">
        <f t="shared" si="3"/>
        <v>3128198013.5100002</v>
      </c>
      <c r="J40" s="64">
        <f t="shared" si="4"/>
        <v>7103023.4523060294</v>
      </c>
      <c r="Q40" s="60" t="s">
        <v>11</v>
      </c>
      <c r="R40" s="60" t="s">
        <v>98</v>
      </c>
      <c r="S40" s="64">
        <f t="shared" ref="S40:AD43" si="15">SUMIFS($I:$I,$C:$C,$Q40,$B:$B,S$5)/1000000</f>
        <v>3058.4933544800001</v>
      </c>
      <c r="T40" s="64">
        <f t="shared" si="15"/>
        <v>14534.446365188158</v>
      </c>
      <c r="U40" s="64">
        <f t="shared" si="15"/>
        <v>6144.7087200100004</v>
      </c>
      <c r="V40" s="64">
        <f t="shared" si="15"/>
        <v>5763.21202068</v>
      </c>
      <c r="W40" s="64">
        <f t="shared" si="15"/>
        <v>11701.228787157499</v>
      </c>
      <c r="X40" s="64">
        <f t="shared" si="15"/>
        <v>-2217.6868330649986</v>
      </c>
      <c r="Y40" s="64">
        <f t="shared" si="15"/>
        <v>7664.4113719999978</v>
      </c>
      <c r="Z40" s="64">
        <f t="shared" si="15"/>
        <v>5855.5706553600003</v>
      </c>
      <c r="AA40" s="64">
        <f t="shared" si="15"/>
        <v>8613.3641950700003</v>
      </c>
      <c r="AB40" s="64">
        <f t="shared" si="15"/>
        <v>18935.010539591</v>
      </c>
      <c r="AC40" s="64">
        <f t="shared" si="15"/>
        <v>16723.098845639288</v>
      </c>
      <c r="AD40" s="64">
        <f t="shared" si="15"/>
        <v>6851.9959694999998</v>
      </c>
      <c r="AE40" s="64">
        <f>SUM(S40:AD40)</f>
        <v>103627.85399161094</v>
      </c>
    </row>
    <row r="41" spans="2:33" hidden="1" x14ac:dyDescent="0.35">
      <c r="B41" s="63">
        <v>3</v>
      </c>
      <c r="C41" s="63" t="s">
        <v>11</v>
      </c>
      <c r="D41" s="60" t="s">
        <v>70</v>
      </c>
      <c r="E41" s="64"/>
      <c r="F41" s="64"/>
      <c r="G41" s="64"/>
      <c r="H41" s="65">
        <f t="shared" si="13"/>
        <v>0</v>
      </c>
      <c r="I41" s="64">
        <f t="shared" si="3"/>
        <v>0</v>
      </c>
      <c r="J41" s="64" t="e">
        <f t="shared" si="4"/>
        <v>#DIV/0!</v>
      </c>
      <c r="Q41" s="60" t="s">
        <v>14</v>
      </c>
      <c r="R41" s="60" t="s">
        <v>98</v>
      </c>
      <c r="S41" s="64">
        <f t="shared" si="15"/>
        <v>963.17783499999996</v>
      </c>
      <c r="T41" s="64">
        <f t="shared" si="15"/>
        <v>19658.994375999999</v>
      </c>
      <c r="U41" s="64">
        <f t="shared" si="15"/>
        <v>6815.9053496363631</v>
      </c>
      <c r="V41" s="64">
        <f t="shared" si="15"/>
        <v>1394.1480149090908</v>
      </c>
      <c r="W41" s="64">
        <f t="shared" si="15"/>
        <v>18755.549582818181</v>
      </c>
      <c r="X41" s="64">
        <f t="shared" si="15"/>
        <v>11544.614242545455</v>
      </c>
      <c r="Y41" s="64">
        <f t="shared" si="15"/>
        <v>5298.1114919541733</v>
      </c>
      <c r="Z41" s="64">
        <f t="shared" si="15"/>
        <v>15131.286916999999</v>
      </c>
      <c r="AA41" s="64">
        <f t="shared" si="15"/>
        <v>1687.0177100000001</v>
      </c>
      <c r="AB41" s="64">
        <f t="shared" si="15"/>
        <v>24552.406833000001</v>
      </c>
      <c r="AC41" s="64">
        <f t="shared" si="15"/>
        <v>18729.933959000002</v>
      </c>
      <c r="AD41" s="64">
        <f t="shared" si="15"/>
        <v>41499.59073799997</v>
      </c>
      <c r="AE41" s="64">
        <f t="shared" ref="AE41:AE43" si="16">SUM(S41:AD41)</f>
        <v>166030.73704986321</v>
      </c>
    </row>
    <row r="42" spans="2:33" hidden="1" x14ac:dyDescent="0.35">
      <c r="B42" s="63">
        <v>3</v>
      </c>
      <c r="C42" s="63" t="s">
        <v>14</v>
      </c>
      <c r="D42" s="60" t="s">
        <v>65</v>
      </c>
      <c r="E42" s="64">
        <v>366</v>
      </c>
      <c r="F42" s="64">
        <v>6906941243.636363</v>
      </c>
      <c r="G42" s="64">
        <v>91035894</v>
      </c>
      <c r="H42" s="65">
        <f t="shared" si="13"/>
        <v>1.3180348693985917E-2</v>
      </c>
      <c r="I42" s="64">
        <f t="shared" si="3"/>
        <v>6815905349.636363</v>
      </c>
      <c r="J42" s="64">
        <f t="shared" si="4"/>
        <v>18871424.162940882</v>
      </c>
      <c r="Q42" s="60" t="s">
        <v>16</v>
      </c>
      <c r="R42" s="60" t="s">
        <v>98</v>
      </c>
      <c r="S42" s="64">
        <f t="shared" si="15"/>
        <v>5359.7558464174499</v>
      </c>
      <c r="T42" s="64">
        <f t="shared" si="15"/>
        <v>5389.3658047106001</v>
      </c>
      <c r="U42" s="64">
        <f t="shared" si="15"/>
        <v>5791.7094561518998</v>
      </c>
      <c r="V42" s="64">
        <f t="shared" si="15"/>
        <v>3119.5052818780005</v>
      </c>
      <c r="W42" s="64">
        <f t="shared" si="15"/>
        <v>4186.3775106640014</v>
      </c>
      <c r="X42" s="64">
        <f t="shared" si="15"/>
        <v>4045.9603923032996</v>
      </c>
      <c r="Y42" s="64">
        <f t="shared" si="15"/>
        <v>6851.374730532998</v>
      </c>
      <c r="Z42" s="64">
        <f t="shared" si="15"/>
        <v>204.36380032830525</v>
      </c>
      <c r="AA42" s="64">
        <f t="shared" si="15"/>
        <v>8911.7781993494009</v>
      </c>
      <c r="AB42" s="64">
        <f t="shared" si="15"/>
        <v>12678.922260072286</v>
      </c>
      <c r="AC42" s="64">
        <f t="shared" si="15"/>
        <v>12909.1590525009</v>
      </c>
      <c r="AD42" s="64">
        <f t="shared" si="15"/>
        <v>4776.4035234526127</v>
      </c>
      <c r="AE42" s="64">
        <f t="shared" si="16"/>
        <v>74224.675858361748</v>
      </c>
    </row>
    <row r="43" spans="2:33" x14ac:dyDescent="0.35">
      <c r="B43" s="63">
        <v>3</v>
      </c>
      <c r="C43" s="63" t="s">
        <v>14</v>
      </c>
      <c r="D43" s="60" t="s">
        <v>80</v>
      </c>
      <c r="E43" s="64"/>
      <c r="F43" s="64"/>
      <c r="G43" s="64"/>
      <c r="H43" s="65">
        <f t="shared" si="13"/>
        <v>0</v>
      </c>
      <c r="I43" s="64">
        <f t="shared" si="3"/>
        <v>0</v>
      </c>
      <c r="J43" s="64" t="e">
        <f t="shared" si="4"/>
        <v>#DIV/0!</v>
      </c>
      <c r="Q43" s="60" t="s">
        <v>21</v>
      </c>
      <c r="R43" s="60" t="s">
        <v>98</v>
      </c>
      <c r="S43" s="64">
        <f t="shared" si="15"/>
        <v>0</v>
      </c>
      <c r="T43" s="64">
        <f t="shared" si="15"/>
        <v>0</v>
      </c>
      <c r="U43" s="64">
        <f t="shared" si="15"/>
        <v>0</v>
      </c>
      <c r="V43" s="64">
        <f t="shared" si="15"/>
        <v>0</v>
      </c>
      <c r="W43" s="64">
        <f t="shared" si="15"/>
        <v>0</v>
      </c>
      <c r="X43" s="64">
        <f t="shared" si="15"/>
        <v>0</v>
      </c>
      <c r="Y43" s="64">
        <f t="shared" si="15"/>
        <v>0</v>
      </c>
      <c r="Z43" s="64">
        <f t="shared" si="15"/>
        <v>0</v>
      </c>
      <c r="AA43" s="64">
        <f t="shared" si="15"/>
        <v>0</v>
      </c>
      <c r="AB43" s="64">
        <f t="shared" si="15"/>
        <v>0</v>
      </c>
      <c r="AC43" s="64">
        <f t="shared" si="15"/>
        <v>0</v>
      </c>
      <c r="AD43" s="64">
        <f t="shared" si="15"/>
        <v>0</v>
      </c>
      <c r="AE43" s="64">
        <f t="shared" si="16"/>
        <v>0</v>
      </c>
    </row>
    <row r="44" spans="2:33" x14ac:dyDescent="0.35">
      <c r="B44" s="63">
        <v>3</v>
      </c>
      <c r="C44" s="63" t="s">
        <v>14</v>
      </c>
      <c r="D44" s="60" t="s">
        <v>15</v>
      </c>
      <c r="E44" s="64"/>
      <c r="F44" s="64"/>
      <c r="G44" s="64"/>
      <c r="H44" s="65">
        <f t="shared" si="13"/>
        <v>0</v>
      </c>
      <c r="I44" s="64">
        <f t="shared" si="3"/>
        <v>0</v>
      </c>
      <c r="J44" s="64" t="e">
        <f t="shared" si="4"/>
        <v>#DIV/0!</v>
      </c>
    </row>
    <row r="45" spans="2:33" ht="14.25" x14ac:dyDescent="0.45">
      <c r="B45" s="63">
        <v>3</v>
      </c>
      <c r="C45" s="63" t="s">
        <v>16</v>
      </c>
      <c r="D45" s="52" t="s">
        <v>66</v>
      </c>
      <c r="E45" s="64">
        <v>271.65959426004923</v>
      </c>
      <c r="F45" s="64">
        <v>4546252283.4891777</v>
      </c>
      <c r="G45" s="64">
        <v>67185994.337278053</v>
      </c>
      <c r="H45" s="65">
        <f t="shared" si="13"/>
        <v>1.4778325123152613E-2</v>
      </c>
      <c r="I45" s="64">
        <f t="shared" si="3"/>
        <v>4479066289.1518993</v>
      </c>
      <c r="J45" s="64">
        <f t="shared" si="4"/>
        <v>16735106.653870748</v>
      </c>
      <c r="Q45" s="62" t="s">
        <v>23</v>
      </c>
      <c r="R45" s="60" t="s">
        <v>98</v>
      </c>
      <c r="S45" s="67">
        <f>SUM(S40:S44)</f>
        <v>9381.42703589745</v>
      </c>
      <c r="T45" s="67">
        <f t="shared" ref="T45:AE45" si="17">SUM(T40:T44)</f>
        <v>39582.806545898755</v>
      </c>
      <c r="U45" s="67">
        <f t="shared" si="17"/>
        <v>18752.323525798263</v>
      </c>
      <c r="V45" s="67">
        <f t="shared" si="17"/>
        <v>10276.865317467091</v>
      </c>
      <c r="W45" s="67">
        <f t="shared" si="17"/>
        <v>34643.155880639679</v>
      </c>
      <c r="X45" s="67">
        <f t="shared" si="17"/>
        <v>13372.887801783756</v>
      </c>
      <c r="Y45" s="67">
        <f t="shared" si="17"/>
        <v>19813.897594487171</v>
      </c>
      <c r="Z45" s="67">
        <f t="shared" si="17"/>
        <v>21191.221372688306</v>
      </c>
      <c r="AA45" s="67">
        <f t="shared" si="17"/>
        <v>19212.160104419403</v>
      </c>
      <c r="AB45" s="67">
        <f t="shared" si="17"/>
        <v>56166.339632663286</v>
      </c>
      <c r="AC45" s="67">
        <f t="shared" si="17"/>
        <v>48362.191857140191</v>
      </c>
      <c r="AD45" s="67">
        <f t="shared" si="17"/>
        <v>53127.990230952579</v>
      </c>
      <c r="AE45" s="67">
        <f t="shared" si="17"/>
        <v>343883.2668998359</v>
      </c>
    </row>
    <row r="46" spans="2:33" ht="14.25" x14ac:dyDescent="0.45">
      <c r="B46" s="63">
        <v>3</v>
      </c>
      <c r="C46" s="63" t="s">
        <v>16</v>
      </c>
      <c r="D46" s="52" t="s">
        <v>82</v>
      </c>
      <c r="E46" s="64"/>
      <c r="F46" s="64"/>
      <c r="G46" s="64"/>
      <c r="H46" s="65">
        <f t="shared" si="13"/>
        <v>0</v>
      </c>
      <c r="I46" s="64">
        <f t="shared" si="3"/>
        <v>0</v>
      </c>
      <c r="J46" s="64" t="e">
        <f t="shared" si="4"/>
        <v>#DIV/0!</v>
      </c>
    </row>
    <row r="47" spans="2:33" ht="14.25" x14ac:dyDescent="0.45">
      <c r="B47" s="63">
        <v>3</v>
      </c>
      <c r="C47" s="63" t="s">
        <v>16</v>
      </c>
      <c r="D47" s="52" t="s">
        <v>69</v>
      </c>
      <c r="E47" s="64"/>
      <c r="F47" s="64"/>
      <c r="G47" s="64"/>
      <c r="H47" s="65">
        <f t="shared" si="13"/>
        <v>0</v>
      </c>
      <c r="I47" s="64">
        <f t="shared" si="3"/>
        <v>0</v>
      </c>
      <c r="J47" s="64" t="e">
        <f t="shared" si="4"/>
        <v>#DIV/0!</v>
      </c>
    </row>
    <row r="48" spans="2:33" ht="14.25" x14ac:dyDescent="0.45">
      <c r="B48" s="63">
        <v>3</v>
      </c>
      <c r="C48" s="63" t="s">
        <v>16</v>
      </c>
      <c r="D48" s="52" t="s">
        <v>67</v>
      </c>
      <c r="E48" s="64"/>
      <c r="F48" s="64"/>
      <c r="G48" s="64"/>
      <c r="H48" s="65">
        <f t="shared" si="13"/>
        <v>0</v>
      </c>
      <c r="I48" s="64">
        <f t="shared" si="3"/>
        <v>0</v>
      </c>
      <c r="J48" s="64" t="e">
        <f t="shared" si="4"/>
        <v>#DIV/0!</v>
      </c>
    </row>
    <row r="49" spans="2:10" ht="14.25" x14ac:dyDescent="0.45">
      <c r="B49" s="63">
        <v>3</v>
      </c>
      <c r="C49" s="63" t="s">
        <v>16</v>
      </c>
      <c r="D49" s="52" t="s">
        <v>108</v>
      </c>
      <c r="E49" s="64">
        <v>95.381</v>
      </c>
      <c r="F49" s="64">
        <v>1482950365</v>
      </c>
      <c r="G49" s="64">
        <v>170307198</v>
      </c>
      <c r="H49" s="65">
        <f t="shared" si="13"/>
        <v>0.11484349174424324</v>
      </c>
      <c r="I49" s="64">
        <f t="shared" si="3"/>
        <v>1312643167</v>
      </c>
      <c r="J49" s="64">
        <f t="shared" si="4"/>
        <v>15547649.58429876</v>
      </c>
    </row>
    <row r="50" spans="2:10" ht="14.25" x14ac:dyDescent="0.45">
      <c r="B50" s="63">
        <v>3</v>
      </c>
      <c r="C50" s="63" t="s">
        <v>21</v>
      </c>
      <c r="D50" s="52" t="s">
        <v>68</v>
      </c>
      <c r="H50" s="65">
        <f t="shared" si="13"/>
        <v>0</v>
      </c>
      <c r="I50" s="60">
        <f t="shared" si="3"/>
        <v>0</v>
      </c>
      <c r="J50" s="64" t="e">
        <f t="shared" si="4"/>
        <v>#DIV/0!</v>
      </c>
    </row>
    <row r="51" spans="2:10" x14ac:dyDescent="0.35">
      <c r="B51" s="63">
        <v>4</v>
      </c>
      <c r="C51" s="63" t="s">
        <v>11</v>
      </c>
      <c r="D51" s="60" t="s">
        <v>12</v>
      </c>
      <c r="E51" s="64"/>
      <c r="F51" s="64"/>
      <c r="G51" s="64"/>
      <c r="H51" s="65">
        <f t="shared" si="13"/>
        <v>0</v>
      </c>
      <c r="I51" s="64">
        <f t="shared" ref="I51:I80" si="18">F51-G51</f>
        <v>0</v>
      </c>
      <c r="J51" s="64" t="e">
        <f t="shared" ref="J51:J80" si="19">F51/E51</f>
        <v>#DIV/0!</v>
      </c>
    </row>
    <row r="52" spans="2:10" x14ac:dyDescent="0.35">
      <c r="B52" s="63">
        <v>4</v>
      </c>
      <c r="C52" s="63" t="s">
        <v>11</v>
      </c>
      <c r="D52" s="60" t="s">
        <v>13</v>
      </c>
      <c r="E52" s="64">
        <v>183.98029621875</v>
      </c>
      <c r="F52" s="64">
        <v>5887369479</v>
      </c>
      <c r="G52" s="64">
        <v>470989558.31999969</v>
      </c>
      <c r="H52" s="65">
        <f t="shared" si="13"/>
        <v>7.9999999999999946E-2</v>
      </c>
      <c r="I52" s="64">
        <f t="shared" si="18"/>
        <v>5416379920.6800003</v>
      </c>
      <c r="J52" s="64">
        <f t="shared" si="19"/>
        <v>32000000</v>
      </c>
    </row>
    <row r="53" spans="2:10" x14ac:dyDescent="0.35">
      <c r="B53" s="63">
        <v>4</v>
      </c>
      <c r="C53" s="63" t="s">
        <v>11</v>
      </c>
      <c r="D53" s="60" t="s">
        <v>20</v>
      </c>
      <c r="E53" s="64"/>
      <c r="F53" s="64"/>
      <c r="G53" s="64"/>
      <c r="H53" s="65">
        <f t="shared" si="13"/>
        <v>0</v>
      </c>
      <c r="I53" s="64">
        <f t="shared" si="18"/>
        <v>0</v>
      </c>
      <c r="J53" s="64" t="e">
        <f t="shared" si="19"/>
        <v>#DIV/0!</v>
      </c>
    </row>
    <row r="54" spans="2:10" x14ac:dyDescent="0.35">
      <c r="B54" s="63">
        <v>4</v>
      </c>
      <c r="C54" s="63" t="s">
        <v>11</v>
      </c>
      <c r="D54" s="60" t="s">
        <v>32</v>
      </c>
      <c r="E54" s="64">
        <v>24.8064</v>
      </c>
      <c r="F54" s="64">
        <v>406328100</v>
      </c>
      <c r="G54" s="64">
        <v>59495999.99999994</v>
      </c>
      <c r="H54" s="65">
        <f t="shared" si="13"/>
        <v>0.14642354294472851</v>
      </c>
      <c r="I54" s="64">
        <f t="shared" si="18"/>
        <v>346832100.00000006</v>
      </c>
      <c r="J54" s="64">
        <f t="shared" si="19"/>
        <v>16379970.491486069</v>
      </c>
    </row>
    <row r="55" spans="2:10" x14ac:dyDescent="0.35">
      <c r="B55" s="63">
        <v>4</v>
      </c>
      <c r="C55" s="63" t="s">
        <v>11</v>
      </c>
      <c r="D55" s="60" t="s">
        <v>70</v>
      </c>
      <c r="E55" s="64"/>
      <c r="F55" s="64"/>
      <c r="G55" s="64"/>
      <c r="H55" s="65">
        <f t="shared" si="13"/>
        <v>0</v>
      </c>
      <c r="I55" s="64">
        <f t="shared" si="18"/>
        <v>0</v>
      </c>
      <c r="J55" s="64" t="e">
        <f t="shared" si="19"/>
        <v>#DIV/0!</v>
      </c>
    </row>
    <row r="56" spans="2:10" x14ac:dyDescent="0.35">
      <c r="B56" s="63">
        <v>4</v>
      </c>
      <c r="C56" s="63" t="s">
        <v>14</v>
      </c>
      <c r="D56" s="60" t="s">
        <v>65</v>
      </c>
      <c r="E56" s="64">
        <v>80.334000000000003</v>
      </c>
      <c r="F56" s="64">
        <v>1414151180.9090908</v>
      </c>
      <c r="G56" s="64">
        <v>20003166</v>
      </c>
      <c r="H56" s="65">
        <f>IF(E56=0,0,G56/F56)</f>
        <v>1.4144998264712343E-2</v>
      </c>
      <c r="I56" s="64">
        <f t="shared" si="18"/>
        <v>1394148014.9090908</v>
      </c>
      <c r="J56" s="64">
        <f t="shared" si="19"/>
        <v>17603395.584797107</v>
      </c>
    </row>
    <row r="57" spans="2:10" x14ac:dyDescent="0.35">
      <c r="B57" s="63">
        <v>4</v>
      </c>
      <c r="C57" s="63" t="s">
        <v>14</v>
      </c>
      <c r="D57" s="60" t="s">
        <v>80</v>
      </c>
      <c r="E57" s="64"/>
      <c r="F57" s="64"/>
      <c r="G57" s="64"/>
      <c r="H57" s="65">
        <f>IF(E57=0,0,G57/F57)</f>
        <v>0</v>
      </c>
      <c r="I57" s="64">
        <f t="shared" si="18"/>
        <v>0</v>
      </c>
      <c r="J57" s="64" t="e">
        <f t="shared" si="19"/>
        <v>#DIV/0!</v>
      </c>
    </row>
    <row r="58" spans="2:10" x14ac:dyDescent="0.35">
      <c r="B58" s="63">
        <v>4</v>
      </c>
      <c r="C58" s="63" t="s">
        <v>14</v>
      </c>
      <c r="D58" s="60" t="s">
        <v>15</v>
      </c>
      <c r="E58" s="64"/>
      <c r="F58" s="64"/>
      <c r="G58" s="64"/>
      <c r="H58" s="65">
        <f>IF(E58=0,0,G58/F58)</f>
        <v>0</v>
      </c>
      <c r="I58" s="64">
        <f t="shared" si="18"/>
        <v>0</v>
      </c>
      <c r="J58" s="64" t="e">
        <f t="shared" si="19"/>
        <v>#DIV/0!</v>
      </c>
    </row>
    <row r="59" spans="2:10" x14ac:dyDescent="0.35">
      <c r="B59" s="63">
        <v>4</v>
      </c>
      <c r="C59" s="63" t="s">
        <v>14</v>
      </c>
      <c r="D59" s="60" t="s">
        <v>116</v>
      </c>
      <c r="E59" s="64"/>
      <c r="F59" s="64"/>
      <c r="G59" s="64"/>
      <c r="H59" s="65">
        <f>IF(E59=0,0,G59/F59)</f>
        <v>0</v>
      </c>
      <c r="I59" s="64">
        <f t="shared" si="18"/>
        <v>0</v>
      </c>
      <c r="J59" s="64" t="e">
        <f t="shared" si="19"/>
        <v>#DIV/0!</v>
      </c>
    </row>
    <row r="60" spans="2:10" ht="14.25" x14ac:dyDescent="0.45">
      <c r="B60" s="63">
        <v>4</v>
      </c>
      <c r="C60" s="63" t="s">
        <v>16</v>
      </c>
      <c r="D60" s="52" t="s">
        <v>66</v>
      </c>
      <c r="E60" s="64">
        <v>181.28800049999998</v>
      </c>
      <c r="F60" s="64">
        <v>3083249412.1261697</v>
      </c>
      <c r="G60" s="64">
        <v>45565262.248169653</v>
      </c>
      <c r="H60" s="65">
        <f t="shared" ref="H60:H80" si="20">IF(E60=0,0,G60/F60)</f>
        <v>1.4778325123152598E-2</v>
      </c>
      <c r="I60" s="64">
        <f t="shared" si="18"/>
        <v>3037684149.8780003</v>
      </c>
      <c r="J60" s="64">
        <f t="shared" si="19"/>
        <v>17007465.489290174</v>
      </c>
    </row>
    <row r="61" spans="2:10" ht="14.25" x14ac:dyDescent="0.45">
      <c r="B61" s="63">
        <v>4</v>
      </c>
      <c r="C61" s="63" t="s">
        <v>16</v>
      </c>
      <c r="D61" s="52" t="s">
        <v>82</v>
      </c>
      <c r="E61" s="64"/>
      <c r="F61" s="64"/>
      <c r="G61" s="64"/>
      <c r="H61" s="65">
        <f t="shared" si="20"/>
        <v>0</v>
      </c>
      <c r="I61" s="64">
        <f t="shared" si="18"/>
        <v>0</v>
      </c>
      <c r="J61" s="64" t="e">
        <f t="shared" si="19"/>
        <v>#DIV/0!</v>
      </c>
    </row>
    <row r="62" spans="2:10" ht="14.25" x14ac:dyDescent="0.45">
      <c r="B62" s="63">
        <v>4</v>
      </c>
      <c r="C62" s="63" t="s">
        <v>16</v>
      </c>
      <c r="D62" s="52" t="s">
        <v>69</v>
      </c>
      <c r="E62" s="64"/>
      <c r="F62" s="64"/>
      <c r="G62" s="64"/>
      <c r="H62" s="65">
        <f t="shared" si="20"/>
        <v>0</v>
      </c>
      <c r="I62" s="64">
        <f t="shared" si="18"/>
        <v>0</v>
      </c>
      <c r="J62" s="64" t="e">
        <f t="shared" si="19"/>
        <v>#DIV/0!</v>
      </c>
    </row>
    <row r="63" spans="2:10" ht="14.25" x14ac:dyDescent="0.45">
      <c r="B63" s="63">
        <v>4</v>
      </c>
      <c r="C63" s="63" t="s">
        <v>16</v>
      </c>
      <c r="D63" s="52" t="s">
        <v>67</v>
      </c>
      <c r="E63" s="64"/>
      <c r="F63" s="64"/>
      <c r="G63" s="64"/>
      <c r="H63" s="65">
        <f t="shared" si="20"/>
        <v>0</v>
      </c>
      <c r="I63" s="64">
        <f t="shared" si="18"/>
        <v>0</v>
      </c>
      <c r="J63" s="64" t="e">
        <f t="shared" si="19"/>
        <v>#DIV/0!</v>
      </c>
    </row>
    <row r="64" spans="2:10" ht="14.25" x14ac:dyDescent="0.45">
      <c r="B64" s="63">
        <v>4</v>
      </c>
      <c r="C64" s="63" t="s">
        <v>16</v>
      </c>
      <c r="D64" s="52" t="s">
        <v>108</v>
      </c>
      <c r="E64" s="64">
        <v>5.6553500000000003</v>
      </c>
      <c r="F64" s="64">
        <v>79321052</v>
      </c>
      <c r="G64" s="64">
        <v>-2500080</v>
      </c>
      <c r="H64" s="65">
        <f t="shared" si="20"/>
        <v>-3.1518492719940228E-2</v>
      </c>
      <c r="I64" s="64">
        <f t="shared" si="18"/>
        <v>81821132</v>
      </c>
      <c r="J64" s="64">
        <f t="shared" si="19"/>
        <v>14025843.139681892</v>
      </c>
    </row>
    <row r="65" spans="2:10" ht="14.25" x14ac:dyDescent="0.45">
      <c r="B65" s="63">
        <v>4</v>
      </c>
      <c r="C65" s="63" t="s">
        <v>21</v>
      </c>
      <c r="D65" s="52" t="s">
        <v>68</v>
      </c>
      <c r="E65" s="64"/>
      <c r="F65" s="64"/>
      <c r="G65" s="64"/>
      <c r="H65" s="65">
        <f t="shared" si="20"/>
        <v>0</v>
      </c>
      <c r="I65" s="64">
        <f t="shared" si="18"/>
        <v>0</v>
      </c>
      <c r="J65" s="64" t="e">
        <f t="shared" si="19"/>
        <v>#DIV/0!</v>
      </c>
    </row>
    <row r="66" spans="2:10" x14ac:dyDescent="0.35">
      <c r="B66" s="63">
        <v>5</v>
      </c>
      <c r="C66" s="63" t="s">
        <v>11</v>
      </c>
      <c r="D66" s="60" t="s">
        <v>12</v>
      </c>
      <c r="E66" s="64">
        <v>7.5430000000000001</v>
      </c>
      <c r="F66" s="64">
        <v>180656240</v>
      </c>
      <c r="G66" s="64">
        <v>14524800</v>
      </c>
      <c r="H66" s="65">
        <f t="shared" si="20"/>
        <v>8.0400212026996681E-2</v>
      </c>
      <c r="I66" s="60">
        <f t="shared" si="18"/>
        <v>166131440</v>
      </c>
      <c r="J66" s="64">
        <f t="shared" si="19"/>
        <v>23950184.276812937</v>
      </c>
    </row>
    <row r="67" spans="2:10" x14ac:dyDescent="0.35">
      <c r="B67" s="63">
        <v>5</v>
      </c>
      <c r="C67" s="63" t="s">
        <v>11</v>
      </c>
      <c r="D67" s="60" t="s">
        <v>13</v>
      </c>
      <c r="E67" s="64">
        <v>215.66829842499999</v>
      </c>
      <c r="F67" s="64">
        <v>9058068533.8499985</v>
      </c>
      <c r="G67" s="64">
        <v>452903426.69250005</v>
      </c>
      <c r="H67" s="65">
        <f t="shared" si="20"/>
        <v>5.0000000000000017E-2</v>
      </c>
      <c r="I67" s="64">
        <f t="shared" si="18"/>
        <v>8605165107.1574993</v>
      </c>
      <c r="J67" s="64">
        <f t="shared" si="19"/>
        <v>41999999.999999993</v>
      </c>
    </row>
    <row r="68" spans="2:10" x14ac:dyDescent="0.35">
      <c r="B68" s="63">
        <v>5</v>
      </c>
      <c r="C68" s="63" t="s">
        <v>11</v>
      </c>
      <c r="D68" s="60" t="s">
        <v>20</v>
      </c>
      <c r="E68" s="64"/>
      <c r="F68" s="64"/>
      <c r="G68" s="64"/>
      <c r="H68" s="65">
        <f t="shared" si="20"/>
        <v>0</v>
      </c>
      <c r="I68" s="64">
        <f t="shared" si="18"/>
        <v>0</v>
      </c>
      <c r="J68" s="64" t="e">
        <f t="shared" si="19"/>
        <v>#DIV/0!</v>
      </c>
    </row>
    <row r="69" spans="2:10" x14ac:dyDescent="0.35">
      <c r="B69" s="63">
        <v>5</v>
      </c>
      <c r="C69" s="63" t="s">
        <v>11</v>
      </c>
      <c r="D69" s="60" t="s">
        <v>32</v>
      </c>
      <c r="E69" s="64">
        <v>369.6506</v>
      </c>
      <c r="F69" s="64">
        <v>3135625600</v>
      </c>
      <c r="G69" s="64">
        <v>205693360.00000024</v>
      </c>
      <c r="H69" s="65">
        <f t="shared" si="20"/>
        <v>6.5598826594603712E-2</v>
      </c>
      <c r="I69" s="64">
        <f t="shared" si="18"/>
        <v>2929932240</v>
      </c>
      <c r="J69" s="64">
        <f t="shared" si="19"/>
        <v>8482674.1793466583</v>
      </c>
    </row>
    <row r="70" spans="2:10" x14ac:dyDescent="0.35">
      <c r="B70" s="63">
        <v>5</v>
      </c>
      <c r="C70" s="63" t="s">
        <v>11</v>
      </c>
      <c r="D70" s="60" t="s">
        <v>70</v>
      </c>
      <c r="E70" s="64"/>
      <c r="F70" s="64"/>
      <c r="G70" s="64"/>
      <c r="H70" s="65">
        <f t="shared" si="20"/>
        <v>0</v>
      </c>
      <c r="I70" s="64">
        <f t="shared" si="18"/>
        <v>0</v>
      </c>
      <c r="J70" s="64" t="e">
        <f t="shared" si="19"/>
        <v>#DIV/0!</v>
      </c>
    </row>
    <row r="71" spans="2:10" x14ac:dyDescent="0.35">
      <c r="B71" s="63">
        <v>5</v>
      </c>
      <c r="C71" s="63" t="s">
        <v>14</v>
      </c>
      <c r="D71" s="60" t="s">
        <v>65</v>
      </c>
      <c r="E71" s="64">
        <v>144.71799999999999</v>
      </c>
      <c r="F71" s="64">
        <v>2605579451.8181815</v>
      </c>
      <c r="G71" s="64">
        <v>36034782</v>
      </c>
      <c r="H71" s="65">
        <f t="shared" si="20"/>
        <v>1.3829853461138871E-2</v>
      </c>
      <c r="I71" s="64">
        <f t="shared" si="18"/>
        <v>2569544669.8181815</v>
      </c>
      <c r="J71" s="64">
        <f t="shared" si="19"/>
        <v>18004529.165813386</v>
      </c>
    </row>
    <row r="72" spans="2:10" x14ac:dyDescent="0.35">
      <c r="B72" s="63">
        <v>5</v>
      </c>
      <c r="C72" s="63" t="s">
        <v>14</v>
      </c>
      <c r="D72" s="60" t="s">
        <v>80</v>
      </c>
      <c r="E72" s="64"/>
      <c r="F72" s="64"/>
      <c r="G72" s="64"/>
      <c r="H72" s="65">
        <f t="shared" si="20"/>
        <v>0</v>
      </c>
      <c r="I72" s="64">
        <f t="shared" si="18"/>
        <v>0</v>
      </c>
      <c r="J72" s="64" t="e">
        <f t="shared" si="19"/>
        <v>#DIV/0!</v>
      </c>
    </row>
    <row r="73" spans="2:10" x14ac:dyDescent="0.35">
      <c r="B73" s="63">
        <v>5</v>
      </c>
      <c r="C73" s="63" t="s">
        <v>14</v>
      </c>
      <c r="D73" s="60" t="s">
        <v>15</v>
      </c>
      <c r="E73" s="64"/>
      <c r="F73" s="64"/>
      <c r="G73" s="64"/>
      <c r="H73" s="65">
        <f t="shared" si="20"/>
        <v>0</v>
      </c>
      <c r="I73" s="64">
        <f t="shared" si="18"/>
        <v>0</v>
      </c>
      <c r="J73" s="64" t="e">
        <f t="shared" si="19"/>
        <v>#DIV/0!</v>
      </c>
    </row>
    <row r="74" spans="2:10" x14ac:dyDescent="0.35">
      <c r="B74" s="63">
        <v>5</v>
      </c>
      <c r="C74" s="63" t="s">
        <v>14</v>
      </c>
      <c r="D74" s="60" t="s">
        <v>116</v>
      </c>
      <c r="E74" s="64">
        <v>1494.181</v>
      </c>
      <c r="F74" s="64">
        <v>18780411873</v>
      </c>
      <c r="G74" s="64">
        <v>2594406960</v>
      </c>
      <c r="H74" s="65">
        <f t="shared" ref="H74" si="21">IF(E74=0,0,G74/F74)</f>
        <v>0.13814430575560999</v>
      </c>
      <c r="I74" s="64">
        <f t="shared" ref="I74" si="22">F74-G74</f>
        <v>16186004913</v>
      </c>
      <c r="J74" s="64">
        <f t="shared" ref="J74" si="23">F74/E74</f>
        <v>12569034.054776495</v>
      </c>
    </row>
    <row r="75" spans="2:10" ht="14.25" x14ac:dyDescent="0.45">
      <c r="B75" s="63">
        <v>5</v>
      </c>
      <c r="C75" s="63" t="s">
        <v>16</v>
      </c>
      <c r="D75" s="52" t="s">
        <v>66</v>
      </c>
      <c r="E75" s="64">
        <v>256.89910250000003</v>
      </c>
      <c r="F75" s="64">
        <v>4249173173.3239603</v>
      </c>
      <c r="G75" s="64">
        <v>62795662.65995954</v>
      </c>
      <c r="H75" s="65">
        <f t="shared" si="20"/>
        <v>1.4778325123152599E-2</v>
      </c>
      <c r="I75" s="64">
        <f t="shared" si="18"/>
        <v>4186377510.664001</v>
      </c>
      <c r="J75" s="64">
        <f t="shared" si="19"/>
        <v>16540241.409850623</v>
      </c>
    </row>
    <row r="76" spans="2:10" ht="14.25" x14ac:dyDescent="0.45">
      <c r="B76" s="63">
        <v>5</v>
      </c>
      <c r="C76" s="63" t="s">
        <v>16</v>
      </c>
      <c r="D76" s="52" t="s">
        <v>82</v>
      </c>
      <c r="E76" s="64"/>
      <c r="F76" s="64"/>
      <c r="G76" s="64"/>
      <c r="H76" s="65">
        <f t="shared" si="20"/>
        <v>0</v>
      </c>
      <c r="I76" s="64">
        <f t="shared" si="18"/>
        <v>0</v>
      </c>
      <c r="J76" s="64" t="e">
        <f t="shared" si="19"/>
        <v>#DIV/0!</v>
      </c>
    </row>
    <row r="77" spans="2:10" ht="14.25" x14ac:dyDescent="0.45">
      <c r="B77" s="63">
        <v>5</v>
      </c>
      <c r="C77" s="63" t="s">
        <v>16</v>
      </c>
      <c r="D77" s="52" t="s">
        <v>69</v>
      </c>
      <c r="E77" s="64"/>
      <c r="F77" s="64"/>
      <c r="G77" s="64"/>
      <c r="H77" s="65">
        <f t="shared" si="20"/>
        <v>0</v>
      </c>
      <c r="I77" s="64">
        <f t="shared" si="18"/>
        <v>0</v>
      </c>
      <c r="J77" s="64" t="e">
        <f t="shared" si="19"/>
        <v>#DIV/0!</v>
      </c>
    </row>
    <row r="78" spans="2:10" ht="14.25" x14ac:dyDescent="0.45">
      <c r="B78" s="63">
        <v>5</v>
      </c>
      <c r="C78" s="63" t="s">
        <v>16</v>
      </c>
      <c r="D78" s="52" t="s">
        <v>67</v>
      </c>
      <c r="E78" s="64"/>
      <c r="F78" s="64"/>
      <c r="G78" s="64"/>
      <c r="H78" s="65">
        <f t="shared" si="20"/>
        <v>0</v>
      </c>
      <c r="I78" s="64">
        <f t="shared" si="18"/>
        <v>0</v>
      </c>
      <c r="J78" s="64" t="e">
        <f t="shared" si="19"/>
        <v>#DIV/0!</v>
      </c>
    </row>
    <row r="79" spans="2:10" ht="14.25" x14ac:dyDescent="0.45">
      <c r="B79" s="63">
        <v>5</v>
      </c>
      <c r="C79" s="63" t="s">
        <v>16</v>
      </c>
      <c r="D79" s="52" t="s">
        <v>108</v>
      </c>
      <c r="E79" s="64"/>
      <c r="F79" s="64"/>
      <c r="G79" s="64"/>
      <c r="H79" s="65">
        <f t="shared" si="20"/>
        <v>0</v>
      </c>
      <c r="I79" s="64">
        <f t="shared" si="18"/>
        <v>0</v>
      </c>
      <c r="J79" s="64" t="e">
        <f t="shared" si="19"/>
        <v>#DIV/0!</v>
      </c>
    </row>
    <row r="80" spans="2:10" ht="14.25" x14ac:dyDescent="0.45">
      <c r="B80" s="63">
        <v>5</v>
      </c>
      <c r="C80" s="63" t="s">
        <v>21</v>
      </c>
      <c r="D80" s="52" t="s">
        <v>68</v>
      </c>
      <c r="H80" s="65">
        <f t="shared" si="20"/>
        <v>0</v>
      </c>
      <c r="I80" s="60">
        <f t="shared" si="18"/>
        <v>0</v>
      </c>
      <c r="J80" s="64" t="e">
        <f t="shared" si="19"/>
        <v>#DIV/0!</v>
      </c>
    </row>
    <row r="81" spans="2:10" x14ac:dyDescent="0.35">
      <c r="B81" s="63">
        <v>6</v>
      </c>
      <c r="C81" s="63" t="s">
        <v>11</v>
      </c>
      <c r="D81" s="60" t="s">
        <v>12</v>
      </c>
      <c r="E81" s="64"/>
      <c r="F81" s="64"/>
      <c r="G81" s="64"/>
      <c r="H81" s="65">
        <f t="shared" ref="H81:H95" si="24">IF(E81=0,0,G81/F81)</f>
        <v>0</v>
      </c>
      <c r="I81" s="64">
        <f t="shared" ref="I81:I95" si="25">F81-G81</f>
        <v>0</v>
      </c>
      <c r="J81" s="64" t="e">
        <f t="shared" ref="J81:J95" si="26">F81/E81</f>
        <v>#DIV/0!</v>
      </c>
    </row>
    <row r="82" spans="2:10" x14ac:dyDescent="0.35">
      <c r="B82" s="63">
        <v>6</v>
      </c>
      <c r="C82" s="63" t="s">
        <v>11</v>
      </c>
      <c r="D82" s="60" t="s">
        <v>13</v>
      </c>
      <c r="E82" s="64">
        <v>-90.577072725000022</v>
      </c>
      <c r="F82" s="64">
        <v>-2536158036.2999992</v>
      </c>
      <c r="G82" s="64">
        <v>-211107643.23500058</v>
      </c>
      <c r="H82" s="65">
        <f t="shared" si="24"/>
        <v>8.3239151588118496E-2</v>
      </c>
      <c r="I82" s="64">
        <f t="shared" si="25"/>
        <v>-2325050393.0649986</v>
      </c>
      <c r="J82" s="64">
        <f t="shared" si="26"/>
        <v>27999999.999999985</v>
      </c>
    </row>
    <row r="83" spans="2:10" x14ac:dyDescent="0.35">
      <c r="B83" s="63">
        <v>6</v>
      </c>
      <c r="C83" s="63" t="s">
        <v>11</v>
      </c>
      <c r="D83" s="60" t="s">
        <v>20</v>
      </c>
      <c r="E83" s="64"/>
      <c r="F83" s="64"/>
      <c r="G83" s="64"/>
      <c r="H83" s="65">
        <f t="shared" si="24"/>
        <v>0</v>
      </c>
      <c r="I83" s="64">
        <f t="shared" si="25"/>
        <v>0</v>
      </c>
      <c r="J83" s="64" t="e">
        <f t="shared" si="26"/>
        <v>#DIV/0!</v>
      </c>
    </row>
    <row r="84" spans="2:10" x14ac:dyDescent="0.35">
      <c r="B84" s="63">
        <v>6</v>
      </c>
      <c r="C84" s="63" t="s">
        <v>11</v>
      </c>
      <c r="D84" s="60" t="s">
        <v>32</v>
      </c>
      <c r="E84" s="64">
        <v>16.5624</v>
      </c>
      <c r="F84" s="64">
        <v>291067960</v>
      </c>
      <c r="G84" s="64">
        <v>183704400</v>
      </c>
      <c r="H84" s="65">
        <f t="shared" si="24"/>
        <v>0.6311392019925518</v>
      </c>
      <c r="I84" s="64">
        <f t="shared" si="25"/>
        <v>107363560</v>
      </c>
      <c r="J84" s="64">
        <f t="shared" si="26"/>
        <v>17574020.673332367</v>
      </c>
    </row>
    <row r="85" spans="2:10" x14ac:dyDescent="0.35">
      <c r="B85" s="63">
        <v>6</v>
      </c>
      <c r="C85" s="63" t="s">
        <v>11</v>
      </c>
      <c r="D85" s="60" t="s">
        <v>70</v>
      </c>
      <c r="E85" s="64"/>
      <c r="F85" s="64"/>
      <c r="G85" s="64"/>
      <c r="H85" s="65">
        <f t="shared" si="24"/>
        <v>0</v>
      </c>
      <c r="I85" s="64">
        <f t="shared" si="25"/>
        <v>0</v>
      </c>
      <c r="J85" s="64" t="e">
        <f t="shared" si="26"/>
        <v>#DIV/0!</v>
      </c>
    </row>
    <row r="86" spans="2:10" x14ac:dyDescent="0.35">
      <c r="B86" s="63">
        <v>6</v>
      </c>
      <c r="C86" s="63" t="s">
        <v>14</v>
      </c>
      <c r="D86" s="60" t="s">
        <v>65</v>
      </c>
      <c r="E86" s="64">
        <v>362.84199999999998</v>
      </c>
      <c r="F86" s="64">
        <v>6498272224.545454</v>
      </c>
      <c r="G86" s="64">
        <v>90347658</v>
      </c>
      <c r="H86" s="65">
        <f t="shared" si="24"/>
        <v>1.3903335360241808E-2</v>
      </c>
      <c r="I86" s="64">
        <f t="shared" si="25"/>
        <v>6407924566.545454</v>
      </c>
      <c r="J86" s="64">
        <f t="shared" si="26"/>
        <v>17909371.639847245</v>
      </c>
    </row>
    <row r="87" spans="2:10" x14ac:dyDescent="0.35">
      <c r="B87" s="63">
        <v>6</v>
      </c>
      <c r="C87" s="63" t="s">
        <v>14</v>
      </c>
      <c r="D87" s="60" t="s">
        <v>80</v>
      </c>
      <c r="E87" s="64"/>
      <c r="F87" s="64"/>
      <c r="G87" s="64"/>
      <c r="H87" s="65">
        <f t="shared" si="24"/>
        <v>0</v>
      </c>
      <c r="I87" s="64">
        <f t="shared" si="25"/>
        <v>0</v>
      </c>
      <c r="J87" s="64" t="e">
        <f t="shared" si="26"/>
        <v>#DIV/0!</v>
      </c>
    </row>
    <row r="88" spans="2:10" x14ac:dyDescent="0.35">
      <c r="B88" s="63">
        <v>6</v>
      </c>
      <c r="C88" s="63" t="s">
        <v>14</v>
      </c>
      <c r="D88" s="60" t="s">
        <v>15</v>
      </c>
      <c r="E88" s="64"/>
      <c r="F88" s="64"/>
      <c r="G88" s="64"/>
      <c r="H88" s="65">
        <f t="shared" si="24"/>
        <v>0</v>
      </c>
      <c r="I88" s="64">
        <f t="shared" si="25"/>
        <v>0</v>
      </c>
      <c r="J88" s="64" t="e">
        <f t="shared" si="26"/>
        <v>#DIV/0!</v>
      </c>
    </row>
    <row r="89" spans="2:10" x14ac:dyDescent="0.35">
      <c r="B89" s="63">
        <v>6</v>
      </c>
      <c r="C89" s="63" t="s">
        <v>14</v>
      </c>
      <c r="D89" s="60" t="s">
        <v>116</v>
      </c>
      <c r="E89" s="64">
        <v>501.43200000000002</v>
      </c>
      <c r="F89" s="64">
        <v>5337262476</v>
      </c>
      <c r="G89" s="64">
        <v>200572800</v>
      </c>
      <c r="H89" s="65">
        <f t="shared" si="24"/>
        <v>3.7579714488825154E-2</v>
      </c>
      <c r="I89" s="64">
        <f t="shared" si="25"/>
        <v>5136689676</v>
      </c>
      <c r="J89" s="64">
        <f t="shared" si="26"/>
        <v>10644040.420236442</v>
      </c>
    </row>
    <row r="90" spans="2:10" x14ac:dyDescent="0.35">
      <c r="B90" s="63">
        <v>6</v>
      </c>
      <c r="C90" s="63" t="s">
        <v>16</v>
      </c>
      <c r="D90" s="60" t="s">
        <v>66</v>
      </c>
      <c r="E90" s="64">
        <v>246.90428538022971</v>
      </c>
      <c r="F90" s="64">
        <v>4106649798.1878486</v>
      </c>
      <c r="G90" s="64">
        <v>60689405.884549074</v>
      </c>
      <c r="H90" s="65">
        <f t="shared" si="24"/>
        <v>1.477832512315261E-2</v>
      </c>
      <c r="I90" s="64">
        <f t="shared" si="25"/>
        <v>4045960392.3032994</v>
      </c>
      <c r="J90" s="64">
        <f t="shared" si="26"/>
        <v>16632557.802160688</v>
      </c>
    </row>
    <row r="91" spans="2:10" x14ac:dyDescent="0.35">
      <c r="B91" s="63">
        <v>6</v>
      </c>
      <c r="C91" s="63" t="s">
        <v>16</v>
      </c>
      <c r="D91" s="60" t="s">
        <v>82</v>
      </c>
      <c r="E91" s="64"/>
      <c r="F91" s="64"/>
      <c r="G91" s="64"/>
      <c r="H91" s="65">
        <f t="shared" si="24"/>
        <v>0</v>
      </c>
      <c r="I91" s="64">
        <f t="shared" si="25"/>
        <v>0</v>
      </c>
      <c r="J91" s="64" t="e">
        <f t="shared" si="26"/>
        <v>#DIV/0!</v>
      </c>
    </row>
    <row r="92" spans="2:10" ht="14.25" x14ac:dyDescent="0.45">
      <c r="B92" s="63">
        <v>6</v>
      </c>
      <c r="C92" s="63" t="s">
        <v>16</v>
      </c>
      <c r="D92" s="52" t="s">
        <v>69</v>
      </c>
      <c r="E92" s="64"/>
      <c r="F92" s="64"/>
      <c r="G92" s="64"/>
      <c r="H92" s="65">
        <f t="shared" si="24"/>
        <v>0</v>
      </c>
      <c r="I92" s="64">
        <f t="shared" si="25"/>
        <v>0</v>
      </c>
      <c r="J92" s="64" t="e">
        <f t="shared" si="26"/>
        <v>#DIV/0!</v>
      </c>
    </row>
    <row r="93" spans="2:10" x14ac:dyDescent="0.35">
      <c r="B93" s="63">
        <v>6</v>
      </c>
      <c r="C93" s="63" t="s">
        <v>16</v>
      </c>
      <c r="D93" s="60" t="s">
        <v>67</v>
      </c>
      <c r="E93" s="64"/>
      <c r="F93" s="64"/>
      <c r="G93" s="64"/>
      <c r="H93" s="65">
        <f t="shared" si="24"/>
        <v>0</v>
      </c>
      <c r="I93" s="64">
        <f t="shared" si="25"/>
        <v>0</v>
      </c>
      <c r="J93" s="64" t="e">
        <f t="shared" si="26"/>
        <v>#DIV/0!</v>
      </c>
    </row>
    <row r="94" spans="2:10" x14ac:dyDescent="0.35">
      <c r="B94" s="63">
        <v>6</v>
      </c>
      <c r="C94" s="63" t="s">
        <v>16</v>
      </c>
      <c r="D94" s="60" t="s">
        <v>108</v>
      </c>
      <c r="E94" s="64"/>
      <c r="F94" s="64"/>
      <c r="G94" s="64"/>
      <c r="H94" s="65">
        <f t="shared" si="24"/>
        <v>0</v>
      </c>
      <c r="I94" s="64">
        <f t="shared" si="25"/>
        <v>0</v>
      </c>
      <c r="J94" s="64" t="e">
        <f t="shared" si="26"/>
        <v>#DIV/0!</v>
      </c>
    </row>
    <row r="95" spans="2:10" x14ac:dyDescent="0.35">
      <c r="B95" s="63">
        <v>6</v>
      </c>
      <c r="C95" s="63" t="s">
        <v>21</v>
      </c>
      <c r="D95" s="60" t="s">
        <v>68</v>
      </c>
      <c r="E95" s="64"/>
      <c r="F95" s="64"/>
      <c r="G95" s="64"/>
      <c r="H95" s="65">
        <f t="shared" si="24"/>
        <v>0</v>
      </c>
      <c r="I95" s="64">
        <f t="shared" si="25"/>
        <v>0</v>
      </c>
      <c r="J95" s="64" t="e">
        <f t="shared" si="26"/>
        <v>#DIV/0!</v>
      </c>
    </row>
    <row r="96" spans="2:10" x14ac:dyDescent="0.35">
      <c r="B96" s="110">
        <v>7</v>
      </c>
      <c r="C96" s="110" t="s">
        <v>11</v>
      </c>
      <c r="D96" s="106" t="s">
        <v>12</v>
      </c>
      <c r="E96" s="76"/>
      <c r="F96" s="76"/>
      <c r="G96" s="76"/>
      <c r="H96" s="111">
        <f t="shared" ref="H96:H110" si="27">IF(E96=0,0,G96/F96)</f>
        <v>0</v>
      </c>
      <c r="I96" s="76">
        <f t="shared" ref="I96:I110" si="28">F96-G96</f>
        <v>0</v>
      </c>
      <c r="J96" s="76" t="e">
        <f t="shared" ref="J96:J110" si="29">F96/E96</f>
        <v>#DIV/0!</v>
      </c>
    </row>
    <row r="97" spans="2:10" x14ac:dyDescent="0.35">
      <c r="B97" s="63">
        <v>7</v>
      </c>
      <c r="C97" s="63" t="s">
        <v>11</v>
      </c>
      <c r="D97" s="60" t="s">
        <v>13</v>
      </c>
      <c r="E97" s="64">
        <v>143.38989114285715</v>
      </c>
      <c r="F97" s="64">
        <v>5078871190</v>
      </c>
      <c r="G97" s="64">
        <v>20287500</v>
      </c>
      <c r="H97" s="65">
        <f t="shared" si="27"/>
        <v>3.9944899646096356E-3</v>
      </c>
      <c r="I97" s="64">
        <f t="shared" si="28"/>
        <v>5058583690</v>
      </c>
      <c r="J97" s="64">
        <f t="shared" si="29"/>
        <v>35420008.687641717</v>
      </c>
    </row>
    <row r="98" spans="2:10" x14ac:dyDescent="0.35">
      <c r="B98" s="63">
        <v>7</v>
      </c>
      <c r="C98" s="63" t="s">
        <v>11</v>
      </c>
      <c r="D98" s="60" t="s">
        <v>20</v>
      </c>
      <c r="E98" s="64"/>
      <c r="F98" s="64"/>
      <c r="G98" s="64"/>
      <c r="H98" s="65">
        <f t="shared" si="27"/>
        <v>0</v>
      </c>
      <c r="I98" s="64">
        <f t="shared" si="28"/>
        <v>0</v>
      </c>
      <c r="J98" s="64" t="e">
        <f t="shared" si="29"/>
        <v>#DIV/0!</v>
      </c>
    </row>
    <row r="99" spans="2:10" x14ac:dyDescent="0.35">
      <c r="B99" s="63">
        <v>7</v>
      </c>
      <c r="C99" s="63" t="s">
        <v>11</v>
      </c>
      <c r="D99" s="60" t="s">
        <v>32</v>
      </c>
      <c r="E99" s="64">
        <v>263.46837799999986</v>
      </c>
      <c r="F99" s="64">
        <v>2314560686.7012987</v>
      </c>
      <c r="G99" s="64">
        <v>-291266995.29869914</v>
      </c>
      <c r="H99" s="65">
        <f t="shared" si="27"/>
        <v>-0.12584115723222256</v>
      </c>
      <c r="I99" s="64">
        <f t="shared" si="28"/>
        <v>2605827681.9999981</v>
      </c>
      <c r="J99" s="64">
        <f t="shared" si="29"/>
        <v>8784965.7870566156</v>
      </c>
    </row>
    <row r="100" spans="2:10" x14ac:dyDescent="0.35">
      <c r="B100" s="63">
        <v>7</v>
      </c>
      <c r="C100" s="63" t="s">
        <v>11</v>
      </c>
      <c r="D100" s="60" t="s">
        <v>70</v>
      </c>
      <c r="E100" s="64"/>
      <c r="F100" s="64"/>
      <c r="G100" s="64"/>
      <c r="H100" s="65">
        <f t="shared" si="27"/>
        <v>0</v>
      </c>
      <c r="I100" s="64">
        <f t="shared" si="28"/>
        <v>0</v>
      </c>
      <c r="J100" s="64" t="e">
        <f t="shared" si="29"/>
        <v>#DIV/0!</v>
      </c>
    </row>
    <row r="101" spans="2:10" x14ac:dyDescent="0.35">
      <c r="B101" s="63">
        <v>7</v>
      </c>
      <c r="C101" s="63" t="s">
        <v>14</v>
      </c>
      <c r="D101" s="60" t="s">
        <v>65</v>
      </c>
      <c r="E101" s="64">
        <v>300</v>
      </c>
      <c r="F101" s="64">
        <f>E101*(F86/E86)</f>
        <v>5372811491.9541731</v>
      </c>
      <c r="G101" s="64">
        <f>E101*(G86/E86)</f>
        <v>74700000</v>
      </c>
      <c r="H101" s="65">
        <f t="shared" si="27"/>
        <v>1.3903335360241808E-2</v>
      </c>
      <c r="I101" s="64">
        <f t="shared" si="28"/>
        <v>5298111491.9541731</v>
      </c>
      <c r="J101" s="64">
        <f t="shared" si="29"/>
        <v>17909371.639847245</v>
      </c>
    </row>
    <row r="102" spans="2:10" x14ac:dyDescent="0.35">
      <c r="B102" s="63">
        <v>7</v>
      </c>
      <c r="C102" s="63" t="s">
        <v>14</v>
      </c>
      <c r="D102" s="60" t="s">
        <v>80</v>
      </c>
      <c r="E102" s="64"/>
      <c r="F102" s="64"/>
      <c r="G102" s="64"/>
      <c r="H102" s="65">
        <f t="shared" si="27"/>
        <v>0</v>
      </c>
      <c r="I102" s="64">
        <f t="shared" si="28"/>
        <v>0</v>
      </c>
      <c r="J102" s="64" t="e">
        <f t="shared" si="29"/>
        <v>#DIV/0!</v>
      </c>
    </row>
    <row r="103" spans="2:10" x14ac:dyDescent="0.35">
      <c r="B103" s="63">
        <v>7</v>
      </c>
      <c r="C103" s="63" t="s">
        <v>14</v>
      </c>
      <c r="D103" s="60" t="s">
        <v>15</v>
      </c>
      <c r="E103" s="64"/>
      <c r="F103" s="64"/>
      <c r="G103" s="64"/>
      <c r="H103" s="65">
        <f t="shared" si="27"/>
        <v>0</v>
      </c>
      <c r="I103" s="64">
        <f t="shared" si="28"/>
        <v>0</v>
      </c>
      <c r="J103" s="64" t="e">
        <f t="shared" si="29"/>
        <v>#DIV/0!</v>
      </c>
    </row>
    <row r="104" spans="2:10" x14ac:dyDescent="0.35">
      <c r="B104" s="63">
        <v>7</v>
      </c>
      <c r="C104" s="63" t="s">
        <v>14</v>
      </c>
      <c r="D104" s="60" t="s">
        <v>116</v>
      </c>
      <c r="E104" s="64"/>
      <c r="F104" s="64"/>
      <c r="G104" s="64"/>
      <c r="H104" s="65">
        <f t="shared" si="27"/>
        <v>0</v>
      </c>
      <c r="I104" s="64">
        <f t="shared" si="28"/>
        <v>0</v>
      </c>
      <c r="J104" s="64" t="e">
        <f t="shared" si="29"/>
        <v>#DIV/0!</v>
      </c>
    </row>
    <row r="105" spans="2:10" x14ac:dyDescent="0.35">
      <c r="B105" s="63">
        <v>7</v>
      </c>
      <c r="C105" s="63" t="s">
        <v>16</v>
      </c>
      <c r="D105" s="60" t="s">
        <v>66</v>
      </c>
      <c r="E105" s="64">
        <v>377.35490148954051</v>
      </c>
      <c r="F105" s="64">
        <v>6333201932.7659922</v>
      </c>
      <c r="G105" s="64">
        <v>93594117.232994378</v>
      </c>
      <c r="H105" s="65">
        <f t="shared" si="27"/>
        <v>1.4778325123152618E-2</v>
      </c>
      <c r="I105" s="64">
        <f t="shared" si="28"/>
        <v>6239607815.5329981</v>
      </c>
      <c r="J105" s="64">
        <f t="shared" si="29"/>
        <v>16783144.747204337</v>
      </c>
    </row>
    <row r="106" spans="2:10" x14ac:dyDescent="0.35">
      <c r="B106" s="63">
        <v>7</v>
      </c>
      <c r="C106" s="63" t="s">
        <v>16</v>
      </c>
      <c r="D106" s="60" t="s">
        <v>82</v>
      </c>
      <c r="E106" s="64"/>
      <c r="F106" s="64"/>
      <c r="G106" s="64"/>
      <c r="H106" s="65">
        <f t="shared" si="27"/>
        <v>0</v>
      </c>
      <c r="I106" s="64">
        <f t="shared" si="28"/>
        <v>0</v>
      </c>
      <c r="J106" s="64" t="e">
        <f t="shared" si="29"/>
        <v>#DIV/0!</v>
      </c>
    </row>
    <row r="107" spans="2:10" ht="14.25" x14ac:dyDescent="0.45">
      <c r="B107" s="63">
        <v>7</v>
      </c>
      <c r="C107" s="63" t="s">
        <v>16</v>
      </c>
      <c r="D107" s="52" t="s">
        <v>69</v>
      </c>
      <c r="E107" s="64"/>
      <c r="F107" s="64"/>
      <c r="G107" s="64"/>
      <c r="H107" s="65">
        <f t="shared" si="27"/>
        <v>0</v>
      </c>
      <c r="I107" s="64">
        <f t="shared" si="28"/>
        <v>0</v>
      </c>
      <c r="J107" s="64" t="e">
        <f t="shared" si="29"/>
        <v>#DIV/0!</v>
      </c>
    </row>
    <row r="108" spans="2:10" x14ac:dyDescent="0.35">
      <c r="B108" s="63">
        <v>7</v>
      </c>
      <c r="C108" s="63" t="s">
        <v>16</v>
      </c>
      <c r="D108" s="60" t="s">
        <v>67</v>
      </c>
      <c r="E108" s="64"/>
      <c r="F108" s="64"/>
      <c r="G108" s="64"/>
      <c r="H108" s="65">
        <f t="shared" si="27"/>
        <v>0</v>
      </c>
      <c r="I108" s="64">
        <f t="shared" si="28"/>
        <v>0</v>
      </c>
      <c r="J108" s="64" t="e">
        <f t="shared" si="29"/>
        <v>#DIV/0!</v>
      </c>
    </row>
    <row r="109" spans="2:10" x14ac:dyDescent="0.35">
      <c r="B109" s="63">
        <v>7</v>
      </c>
      <c r="C109" s="63" t="s">
        <v>16</v>
      </c>
      <c r="D109" s="60" t="s">
        <v>108</v>
      </c>
      <c r="E109" s="64">
        <v>57.728999999999999</v>
      </c>
      <c r="F109" s="64">
        <v>640466361</v>
      </c>
      <c r="G109" s="64">
        <v>28699446</v>
      </c>
      <c r="H109" s="65">
        <f t="shared" si="27"/>
        <v>4.4810231649309057E-2</v>
      </c>
      <c r="I109" s="64">
        <f t="shared" si="28"/>
        <v>611766915</v>
      </c>
      <c r="J109" s="64">
        <f t="shared" si="29"/>
        <v>11094360.910460947</v>
      </c>
    </row>
    <row r="110" spans="2:10" x14ac:dyDescent="0.35">
      <c r="B110" s="63">
        <v>7</v>
      </c>
      <c r="C110" s="63" t="s">
        <v>21</v>
      </c>
      <c r="D110" s="60" t="s">
        <v>68</v>
      </c>
      <c r="E110" s="64"/>
      <c r="F110" s="64"/>
      <c r="G110" s="64"/>
      <c r="H110" s="65">
        <f t="shared" si="27"/>
        <v>0</v>
      </c>
      <c r="I110" s="64">
        <f t="shared" si="28"/>
        <v>0</v>
      </c>
      <c r="J110" s="64" t="e">
        <f t="shared" si="29"/>
        <v>#DIV/0!</v>
      </c>
    </row>
    <row r="111" spans="2:10" x14ac:dyDescent="0.35">
      <c r="B111" s="110">
        <v>8</v>
      </c>
      <c r="C111" s="110" t="s">
        <v>11</v>
      </c>
      <c r="D111" s="106" t="s">
        <v>12</v>
      </c>
      <c r="E111" s="76"/>
      <c r="F111" s="76"/>
      <c r="G111" s="76"/>
      <c r="H111" s="111">
        <f t="shared" ref="H111:H125" si="30">IF(E111=0,0,G111/F111)</f>
        <v>0</v>
      </c>
      <c r="I111" s="76">
        <f t="shared" ref="I111:I125" si="31">F111-G111</f>
        <v>0</v>
      </c>
      <c r="J111" s="76" t="e">
        <f t="shared" ref="J111:J125" si="32">F111/E111</f>
        <v>#DIV/0!</v>
      </c>
    </row>
    <row r="112" spans="2:10" x14ac:dyDescent="0.35">
      <c r="B112" s="110">
        <v>8</v>
      </c>
      <c r="C112" s="63" t="s">
        <v>11</v>
      </c>
      <c r="D112" s="60" t="s">
        <v>13</v>
      </c>
      <c r="E112" s="64">
        <v>102.66652509375</v>
      </c>
      <c r="F112" s="64">
        <v>3285328803</v>
      </c>
      <c r="G112" s="64">
        <v>-394239456.36000013</v>
      </c>
      <c r="H112" s="65">
        <f t="shared" si="30"/>
        <v>-0.12000000000000004</v>
      </c>
      <c r="I112" s="64">
        <f t="shared" si="31"/>
        <v>3679568259.3600001</v>
      </c>
      <c r="J112" s="64">
        <f t="shared" si="32"/>
        <v>32000000</v>
      </c>
    </row>
    <row r="113" spans="2:14" x14ac:dyDescent="0.35">
      <c r="B113" s="110">
        <v>8</v>
      </c>
      <c r="C113" s="63" t="s">
        <v>11</v>
      </c>
      <c r="D113" s="60" t="s">
        <v>20</v>
      </c>
      <c r="E113" s="64"/>
      <c r="F113" s="64"/>
      <c r="G113" s="64"/>
      <c r="H113" s="65">
        <f t="shared" si="30"/>
        <v>0</v>
      </c>
      <c r="I113" s="64">
        <f t="shared" si="31"/>
        <v>0</v>
      </c>
      <c r="J113" s="64" t="e">
        <f t="shared" si="32"/>
        <v>#DIV/0!</v>
      </c>
    </row>
    <row r="114" spans="2:14" x14ac:dyDescent="0.35">
      <c r="B114" s="110">
        <v>8</v>
      </c>
      <c r="C114" s="63" t="s">
        <v>11</v>
      </c>
      <c r="D114" s="60" t="s">
        <v>32</v>
      </c>
      <c r="E114" s="64">
        <v>143.22262999999998</v>
      </c>
      <c r="F114" s="64">
        <v>1974373708.2793999</v>
      </c>
      <c r="G114" s="64">
        <v>-201628687.72059989</v>
      </c>
      <c r="H114" s="65">
        <f t="shared" si="30"/>
        <v>-0.10212285894766726</v>
      </c>
      <c r="I114" s="64">
        <f t="shared" si="31"/>
        <v>2176002396</v>
      </c>
      <c r="J114" s="64">
        <f t="shared" si="32"/>
        <v>13785347.38734654</v>
      </c>
    </row>
    <row r="115" spans="2:14" x14ac:dyDescent="0.35">
      <c r="B115" s="110">
        <v>8</v>
      </c>
      <c r="C115" s="63" t="s">
        <v>11</v>
      </c>
      <c r="D115" s="60" t="s">
        <v>70</v>
      </c>
      <c r="E115" s="64"/>
      <c r="F115" s="64"/>
      <c r="G115" s="64"/>
      <c r="H115" s="65">
        <f t="shared" si="30"/>
        <v>0</v>
      </c>
      <c r="I115" s="64">
        <f t="shared" si="31"/>
        <v>0</v>
      </c>
      <c r="J115" s="64" t="e">
        <f t="shared" si="32"/>
        <v>#DIV/0!</v>
      </c>
    </row>
    <row r="116" spans="2:14" x14ac:dyDescent="0.35">
      <c r="B116" s="110">
        <v>8</v>
      </c>
      <c r="C116" s="63" t="s">
        <v>14</v>
      </c>
      <c r="D116" s="60" t="s">
        <v>65</v>
      </c>
      <c r="E116" s="64">
        <v>260.53300000000002</v>
      </c>
      <c r="F116" s="64">
        <v>4645302037</v>
      </c>
      <c r="G116" s="64">
        <v>750071154</v>
      </c>
      <c r="H116" s="65">
        <f t="shared" si="30"/>
        <v>0.16146875876437225</v>
      </c>
      <c r="I116" s="64">
        <f t="shared" si="31"/>
        <v>3895230883</v>
      </c>
      <c r="J116" s="64">
        <f t="shared" si="32"/>
        <v>17829994.806799904</v>
      </c>
    </row>
    <row r="117" spans="2:14" x14ac:dyDescent="0.35">
      <c r="B117" s="110">
        <v>8</v>
      </c>
      <c r="C117" s="63" t="s">
        <v>14</v>
      </c>
      <c r="D117" s="60" t="s">
        <v>80</v>
      </c>
      <c r="E117" s="64"/>
      <c r="F117" s="64"/>
      <c r="G117" s="64"/>
      <c r="H117" s="65">
        <f t="shared" si="30"/>
        <v>0</v>
      </c>
      <c r="I117" s="64">
        <f t="shared" si="31"/>
        <v>0</v>
      </c>
      <c r="J117" s="64" t="e">
        <f t="shared" si="32"/>
        <v>#DIV/0!</v>
      </c>
    </row>
    <row r="118" spans="2:14" x14ac:dyDescent="0.35">
      <c r="B118" s="110">
        <v>8</v>
      </c>
      <c r="C118" s="63" t="s">
        <v>14</v>
      </c>
      <c r="D118" s="60" t="s">
        <v>15</v>
      </c>
      <c r="E118" s="64">
        <v>11</v>
      </c>
      <c r="F118" s="64">
        <v>862500000</v>
      </c>
      <c r="G118" s="64">
        <v>112500000</v>
      </c>
      <c r="H118" s="65">
        <f t="shared" si="30"/>
        <v>0.13043478260869565</v>
      </c>
      <c r="I118" s="64">
        <f t="shared" si="31"/>
        <v>750000000</v>
      </c>
      <c r="J118" s="64">
        <f t="shared" si="32"/>
        <v>78409090.909090906</v>
      </c>
    </row>
    <row r="119" spans="2:14" x14ac:dyDescent="0.35">
      <c r="B119" s="110">
        <v>8</v>
      </c>
      <c r="C119" s="63" t="s">
        <v>14</v>
      </c>
      <c r="D119" s="60" t="s">
        <v>116</v>
      </c>
      <c r="E119" s="64">
        <v>1069</v>
      </c>
      <c r="F119" s="64">
        <v>10913656034</v>
      </c>
      <c r="G119" s="64">
        <v>427600000</v>
      </c>
      <c r="H119" s="65">
        <f t="shared" si="30"/>
        <v>3.9180270907189195E-2</v>
      </c>
      <c r="I119" s="64">
        <f t="shared" si="31"/>
        <v>10486056034</v>
      </c>
      <c r="J119" s="64">
        <f t="shared" si="32"/>
        <v>10209219.863423761</v>
      </c>
    </row>
    <row r="120" spans="2:14" x14ac:dyDescent="0.35">
      <c r="B120" s="110">
        <v>8</v>
      </c>
      <c r="C120" s="63" t="s">
        <v>16</v>
      </c>
      <c r="D120" s="60" t="s">
        <v>66</v>
      </c>
      <c r="E120" s="64">
        <v>385.53194830024609</v>
      </c>
      <c r="F120" s="64">
        <v>6474299547.5453062</v>
      </c>
      <c r="G120" s="64">
        <v>6378620243.887001</v>
      </c>
      <c r="H120" s="65">
        <f t="shared" si="30"/>
        <v>0.98522167487684731</v>
      </c>
      <c r="I120" s="64">
        <f t="shared" si="31"/>
        <v>95679303.658305168</v>
      </c>
      <c r="J120" s="64">
        <f t="shared" si="32"/>
        <v>16793159.622930199</v>
      </c>
    </row>
    <row r="121" spans="2:14" x14ac:dyDescent="0.35">
      <c r="B121" s="110">
        <v>8</v>
      </c>
      <c r="C121" s="63" t="s">
        <v>16</v>
      </c>
      <c r="D121" s="60" t="s">
        <v>82</v>
      </c>
      <c r="E121" s="64"/>
      <c r="F121" s="64"/>
      <c r="G121" s="64"/>
      <c r="H121" s="65">
        <f t="shared" si="30"/>
        <v>0</v>
      </c>
      <c r="I121" s="64">
        <f t="shared" si="31"/>
        <v>0</v>
      </c>
      <c r="J121" s="64" t="e">
        <f t="shared" si="32"/>
        <v>#DIV/0!</v>
      </c>
    </row>
    <row r="122" spans="2:14" ht="14.25" x14ac:dyDescent="0.45">
      <c r="B122" s="110">
        <v>8</v>
      </c>
      <c r="C122" s="63" t="s">
        <v>16</v>
      </c>
      <c r="D122" s="52" t="s">
        <v>69</v>
      </c>
      <c r="E122" s="64"/>
      <c r="F122" s="64"/>
      <c r="G122" s="64"/>
      <c r="H122" s="65">
        <f t="shared" si="30"/>
        <v>0</v>
      </c>
      <c r="I122" s="64">
        <f t="shared" si="31"/>
        <v>0</v>
      </c>
      <c r="J122" s="64" t="e">
        <f t="shared" si="32"/>
        <v>#DIV/0!</v>
      </c>
    </row>
    <row r="123" spans="2:14" x14ac:dyDescent="0.35">
      <c r="B123" s="110">
        <v>8</v>
      </c>
      <c r="C123" s="63" t="s">
        <v>16</v>
      </c>
      <c r="D123" s="60" t="s">
        <v>67</v>
      </c>
      <c r="E123" s="64">
        <v>0.89739999999999998</v>
      </c>
      <c r="F123" s="64">
        <v>10510348.799999999</v>
      </c>
      <c r="G123" s="64">
        <v>8576451.7999999989</v>
      </c>
      <c r="H123" s="65">
        <f t="shared" si="30"/>
        <v>0.81600068306010931</v>
      </c>
      <c r="I123" s="64">
        <f t="shared" si="31"/>
        <v>1933897</v>
      </c>
      <c r="J123" s="64">
        <f t="shared" si="32"/>
        <v>11712000</v>
      </c>
    </row>
    <row r="124" spans="2:14" x14ac:dyDescent="0.35">
      <c r="B124" s="110">
        <v>8</v>
      </c>
      <c r="C124" s="63" t="s">
        <v>16</v>
      </c>
      <c r="D124" s="60" t="s">
        <v>108</v>
      </c>
      <c r="E124" s="64">
        <v>273.20965000000001</v>
      </c>
      <c r="F124" s="64">
        <v>3693553689.8099999</v>
      </c>
      <c r="G124" s="64">
        <v>3586803090.1399999</v>
      </c>
      <c r="H124" s="65">
        <f t="shared" si="30"/>
        <v>0.97109813241255705</v>
      </c>
      <c r="I124" s="64">
        <f t="shared" si="31"/>
        <v>106750599.67000008</v>
      </c>
      <c r="J124" s="64">
        <f t="shared" si="32"/>
        <v>13519118.705397118</v>
      </c>
    </row>
    <row r="125" spans="2:14" x14ac:dyDescent="0.35">
      <c r="B125" s="110">
        <v>8</v>
      </c>
      <c r="C125" s="63" t="s">
        <v>21</v>
      </c>
      <c r="D125" s="60" t="s">
        <v>68</v>
      </c>
      <c r="E125" s="64"/>
      <c r="F125" s="64"/>
      <c r="G125" s="64"/>
      <c r="H125" s="65">
        <f t="shared" si="30"/>
        <v>0</v>
      </c>
      <c r="I125" s="64">
        <f t="shared" si="31"/>
        <v>0</v>
      </c>
      <c r="J125" s="64" t="e">
        <f t="shared" si="32"/>
        <v>#DIV/0!</v>
      </c>
    </row>
    <row r="126" spans="2:14" x14ac:dyDescent="0.35">
      <c r="B126" s="110">
        <v>9</v>
      </c>
      <c r="C126" s="110" t="s">
        <v>11</v>
      </c>
      <c r="D126" s="106" t="s">
        <v>12</v>
      </c>
      <c r="E126" s="76"/>
      <c r="F126" s="76"/>
      <c r="G126" s="76"/>
      <c r="H126" s="111">
        <f t="shared" ref="H126:H140" si="33">IF(E126=0,0,G126/F126)</f>
        <v>0</v>
      </c>
      <c r="I126" s="76">
        <f t="shared" ref="I126:I140" si="34">F126-G126</f>
        <v>0</v>
      </c>
      <c r="J126" s="76" t="e">
        <f t="shared" ref="J126:J140" si="35">F126/E126</f>
        <v>#DIV/0!</v>
      </c>
    </row>
    <row r="127" spans="2:14" x14ac:dyDescent="0.35">
      <c r="B127" s="110">
        <v>9</v>
      </c>
      <c r="C127" s="63" t="s">
        <v>11</v>
      </c>
      <c r="D127" s="60" t="s">
        <v>13</v>
      </c>
      <c r="E127" s="64">
        <v>56.323</v>
      </c>
      <c r="F127" s="64">
        <v>2511505257</v>
      </c>
      <c r="G127" s="64">
        <v>252873761.93000007</v>
      </c>
      <c r="H127" s="65">
        <f t="shared" si="33"/>
        <v>0.10068613681982035</v>
      </c>
      <c r="I127" s="64">
        <f t="shared" si="34"/>
        <v>2258631495.0699997</v>
      </c>
      <c r="J127" s="64">
        <f t="shared" si="35"/>
        <v>44591112.991140388</v>
      </c>
      <c r="N127" s="60">
        <f>F127/E127/1000</f>
        <v>44591.112991140391</v>
      </c>
    </row>
    <row r="128" spans="2:14" x14ac:dyDescent="0.35">
      <c r="B128" s="110">
        <v>9</v>
      </c>
      <c r="C128" s="63" t="s">
        <v>11</v>
      </c>
      <c r="D128" s="60" t="s">
        <v>20</v>
      </c>
      <c r="E128" s="64"/>
      <c r="F128" s="64"/>
      <c r="G128" s="64"/>
      <c r="H128" s="65">
        <f t="shared" si="33"/>
        <v>0</v>
      </c>
      <c r="I128" s="64">
        <f t="shared" si="34"/>
        <v>0</v>
      </c>
      <c r="J128" s="64" t="e">
        <f t="shared" si="35"/>
        <v>#DIV/0!</v>
      </c>
    </row>
    <row r="129" spans="2:10" x14ac:dyDescent="0.35">
      <c r="B129" s="110">
        <v>9</v>
      </c>
      <c r="C129" s="63" t="s">
        <v>11</v>
      </c>
      <c r="D129" s="60" t="s">
        <v>32</v>
      </c>
      <c r="E129" s="64">
        <v>475.58639999999997</v>
      </c>
      <c r="F129" s="64">
        <v>6856963100</v>
      </c>
      <c r="G129" s="64">
        <v>502230400</v>
      </c>
      <c r="H129" s="65">
        <f t="shared" si="33"/>
        <v>7.3243853390431685E-2</v>
      </c>
      <c r="I129" s="64">
        <f t="shared" si="34"/>
        <v>6354732700</v>
      </c>
      <c r="J129" s="64">
        <f t="shared" si="35"/>
        <v>14417912.497077294</v>
      </c>
    </row>
    <row r="130" spans="2:10" x14ac:dyDescent="0.35">
      <c r="B130" s="110">
        <v>9</v>
      </c>
      <c r="C130" s="63" t="s">
        <v>11</v>
      </c>
      <c r="D130" s="60" t="s">
        <v>70</v>
      </c>
      <c r="E130" s="64"/>
      <c r="F130" s="64"/>
      <c r="G130" s="64"/>
      <c r="H130" s="65">
        <f t="shared" si="33"/>
        <v>0</v>
      </c>
      <c r="I130" s="64">
        <f t="shared" si="34"/>
        <v>0</v>
      </c>
      <c r="J130" s="64" t="e">
        <f t="shared" si="35"/>
        <v>#DIV/0!</v>
      </c>
    </row>
    <row r="131" spans="2:10" x14ac:dyDescent="0.35">
      <c r="B131" s="110">
        <v>9</v>
      </c>
      <c r="C131" s="63" t="s">
        <v>14</v>
      </c>
      <c r="D131" s="60" t="s">
        <v>65</v>
      </c>
      <c r="E131" s="64">
        <v>98.74</v>
      </c>
      <c r="F131" s="64">
        <v>1711603970</v>
      </c>
      <c r="G131" s="64">
        <v>24586260</v>
      </c>
      <c r="H131" s="65">
        <f t="shared" si="33"/>
        <v>1.4364456048790305E-2</v>
      </c>
      <c r="I131" s="64">
        <f t="shared" si="34"/>
        <v>1687017710</v>
      </c>
      <c r="J131" s="64">
        <f t="shared" si="35"/>
        <v>17334453.818108164</v>
      </c>
    </row>
    <row r="132" spans="2:10" x14ac:dyDescent="0.35">
      <c r="B132" s="110">
        <v>9</v>
      </c>
      <c r="C132" s="63" t="s">
        <v>14</v>
      </c>
      <c r="D132" s="60" t="s">
        <v>80</v>
      </c>
      <c r="E132" s="64"/>
      <c r="F132" s="64"/>
      <c r="G132" s="64"/>
      <c r="H132" s="65">
        <f t="shared" si="33"/>
        <v>0</v>
      </c>
      <c r="I132" s="64">
        <f t="shared" si="34"/>
        <v>0</v>
      </c>
      <c r="J132" s="64" t="e">
        <f t="shared" si="35"/>
        <v>#DIV/0!</v>
      </c>
    </row>
    <row r="133" spans="2:10" x14ac:dyDescent="0.35">
      <c r="B133" s="110">
        <v>9</v>
      </c>
      <c r="C133" s="63" t="s">
        <v>14</v>
      </c>
      <c r="D133" s="60" t="s">
        <v>15</v>
      </c>
      <c r="E133" s="64"/>
      <c r="F133" s="64"/>
      <c r="G133" s="64"/>
      <c r="H133" s="65">
        <f t="shared" si="33"/>
        <v>0</v>
      </c>
      <c r="I133" s="64">
        <f t="shared" si="34"/>
        <v>0</v>
      </c>
      <c r="J133" s="64" t="e">
        <f t="shared" si="35"/>
        <v>#DIV/0!</v>
      </c>
    </row>
    <row r="134" spans="2:10" x14ac:dyDescent="0.35">
      <c r="B134" s="110">
        <v>9</v>
      </c>
      <c r="C134" s="63" t="s">
        <v>14</v>
      </c>
      <c r="D134" s="60" t="s">
        <v>116</v>
      </c>
      <c r="E134" s="64"/>
      <c r="F134" s="64"/>
      <c r="G134" s="64"/>
      <c r="H134" s="65">
        <f t="shared" si="33"/>
        <v>0</v>
      </c>
      <c r="I134" s="64">
        <f t="shared" si="34"/>
        <v>0</v>
      </c>
      <c r="J134" s="64" t="e">
        <f t="shared" si="35"/>
        <v>#DIV/0!</v>
      </c>
    </row>
    <row r="135" spans="2:10" x14ac:dyDescent="0.35">
      <c r="B135" s="110">
        <v>9</v>
      </c>
      <c r="C135" s="63" t="s">
        <v>16</v>
      </c>
      <c r="D135" s="60" t="s">
        <v>66</v>
      </c>
      <c r="E135" s="64">
        <v>297.3886445</v>
      </c>
      <c r="F135" s="64">
        <v>4870875605.8876419</v>
      </c>
      <c r="G135" s="64">
        <v>71983383.338240519</v>
      </c>
      <c r="H135" s="65">
        <f t="shared" si="33"/>
        <v>1.4778325123152608E-2</v>
      </c>
      <c r="I135" s="64">
        <f t="shared" si="34"/>
        <v>4798892222.5494013</v>
      </c>
      <c r="J135" s="64">
        <f t="shared" si="35"/>
        <v>16378821.774035968</v>
      </c>
    </row>
    <row r="136" spans="2:10" x14ac:dyDescent="0.35">
      <c r="B136" s="110">
        <v>9</v>
      </c>
      <c r="C136" s="63" t="s">
        <v>16</v>
      </c>
      <c r="D136" s="60" t="s">
        <v>82</v>
      </c>
      <c r="E136" s="64"/>
      <c r="F136" s="64"/>
      <c r="G136" s="64"/>
      <c r="H136" s="65">
        <f t="shared" si="33"/>
        <v>0</v>
      </c>
      <c r="I136" s="64">
        <f t="shared" si="34"/>
        <v>0</v>
      </c>
      <c r="J136" s="64" t="e">
        <f t="shared" si="35"/>
        <v>#DIV/0!</v>
      </c>
    </row>
    <row r="137" spans="2:10" ht="14.25" x14ac:dyDescent="0.45">
      <c r="B137" s="110">
        <v>9</v>
      </c>
      <c r="C137" s="63" t="s">
        <v>16</v>
      </c>
      <c r="D137" s="52" t="s">
        <v>69</v>
      </c>
      <c r="E137" s="64"/>
      <c r="F137" s="64"/>
      <c r="G137" s="64"/>
      <c r="H137" s="65">
        <f t="shared" si="33"/>
        <v>0</v>
      </c>
      <c r="I137" s="64">
        <f t="shared" si="34"/>
        <v>0</v>
      </c>
      <c r="J137" s="64" t="e">
        <f t="shared" si="35"/>
        <v>#DIV/0!</v>
      </c>
    </row>
    <row r="138" spans="2:10" x14ac:dyDescent="0.35">
      <c r="B138" s="110">
        <v>9</v>
      </c>
      <c r="C138" s="63" t="s">
        <v>16</v>
      </c>
      <c r="D138" s="60" t="s">
        <v>67</v>
      </c>
      <c r="E138" s="64">
        <v>12.661</v>
      </c>
      <c r="F138" s="64">
        <v>141662930</v>
      </c>
      <c r="G138" s="64">
        <v>18457447</v>
      </c>
      <c r="H138" s="65">
        <f t="shared" si="33"/>
        <v>0.13029129780105494</v>
      </c>
      <c r="I138" s="64">
        <f t="shared" si="34"/>
        <v>123205483</v>
      </c>
      <c r="J138" s="64">
        <f t="shared" si="35"/>
        <v>11188921.096279915</v>
      </c>
    </row>
    <row r="139" spans="2:10" x14ac:dyDescent="0.35">
      <c r="B139" s="110">
        <v>9</v>
      </c>
      <c r="C139" s="63" t="s">
        <v>16</v>
      </c>
      <c r="D139" s="60" t="s">
        <v>108</v>
      </c>
      <c r="E139" s="64">
        <v>327.15540000000004</v>
      </c>
      <c r="F139" s="64">
        <v>4151815382.1999998</v>
      </c>
      <c r="G139" s="64">
        <v>162134888.40000001</v>
      </c>
      <c r="H139" s="65">
        <f t="shared" si="33"/>
        <v>3.9051565032279099E-2</v>
      </c>
      <c r="I139" s="64">
        <f t="shared" si="34"/>
        <v>3989680493.7999997</v>
      </c>
      <c r="J139" s="64">
        <f t="shared" si="35"/>
        <v>12690652.155519973</v>
      </c>
    </row>
    <row r="140" spans="2:10" x14ac:dyDescent="0.35">
      <c r="B140" s="110">
        <v>9</v>
      </c>
      <c r="C140" s="63" t="s">
        <v>21</v>
      </c>
      <c r="D140" s="60" t="s">
        <v>68</v>
      </c>
      <c r="E140" s="64"/>
      <c r="F140" s="64"/>
      <c r="G140" s="64"/>
      <c r="H140" s="65">
        <f t="shared" si="33"/>
        <v>0</v>
      </c>
      <c r="I140" s="64">
        <f t="shared" si="34"/>
        <v>0</v>
      </c>
      <c r="J140" s="64" t="e">
        <f t="shared" si="35"/>
        <v>#DIV/0!</v>
      </c>
    </row>
    <row r="141" spans="2:10" x14ac:dyDescent="0.35">
      <c r="B141" s="110">
        <v>10</v>
      </c>
      <c r="C141" s="110" t="s">
        <v>11</v>
      </c>
      <c r="D141" s="106" t="s">
        <v>12</v>
      </c>
      <c r="E141" s="76"/>
      <c r="F141" s="76"/>
      <c r="G141" s="76"/>
      <c r="H141" s="111">
        <f t="shared" ref="H141:H155" si="36">IF(E141=0,0,G141/F141)</f>
        <v>0</v>
      </c>
      <c r="I141" s="76">
        <f t="shared" ref="I141:I155" si="37">F141-G141</f>
        <v>0</v>
      </c>
      <c r="J141" s="76" t="e">
        <f t="shared" ref="J141:J155" si="38">F141/E141</f>
        <v>#DIV/0!</v>
      </c>
    </row>
    <row r="142" spans="2:10" x14ac:dyDescent="0.35">
      <c r="B142" s="110">
        <v>10</v>
      </c>
      <c r="C142" s="63" t="s">
        <v>11</v>
      </c>
      <c r="D142" s="60" t="s">
        <v>13</v>
      </c>
      <c r="E142" s="64">
        <v>386.46155692857144</v>
      </c>
      <c r="F142" s="64">
        <v>10772551726.99</v>
      </c>
      <c r="G142" s="64">
        <v>-1085517339.1000004</v>
      </c>
      <c r="H142" s="65">
        <f t="shared" si="36"/>
        <v>-0.10076696465335136</v>
      </c>
      <c r="I142" s="64">
        <f t="shared" si="37"/>
        <v>11858069066.09</v>
      </c>
      <c r="J142" s="64">
        <f t="shared" si="38"/>
        <v>27874833.948829375</v>
      </c>
    </row>
    <row r="143" spans="2:10" x14ac:dyDescent="0.35">
      <c r="B143" s="110">
        <v>10</v>
      </c>
      <c r="C143" s="63" t="s">
        <v>11</v>
      </c>
      <c r="D143" s="60" t="s">
        <v>20</v>
      </c>
      <c r="E143" s="64"/>
      <c r="F143" s="64"/>
      <c r="G143" s="64"/>
      <c r="H143" s="65">
        <f t="shared" si="36"/>
        <v>0</v>
      </c>
      <c r="I143" s="64">
        <f t="shared" si="37"/>
        <v>0</v>
      </c>
      <c r="J143" s="64" t="e">
        <f t="shared" si="38"/>
        <v>#DIV/0!</v>
      </c>
    </row>
    <row r="144" spans="2:10" x14ac:dyDescent="0.35">
      <c r="B144" s="110">
        <v>10</v>
      </c>
      <c r="C144" s="63" t="s">
        <v>11</v>
      </c>
      <c r="D144" s="60" t="s">
        <v>32</v>
      </c>
      <c r="E144" s="64">
        <v>520.54669000000001</v>
      </c>
      <c r="F144" s="64">
        <v>6978494539.7399998</v>
      </c>
      <c r="G144" s="64">
        <v>-98446933.760999918</v>
      </c>
      <c r="H144" s="65">
        <f t="shared" si="36"/>
        <v>-1.4107187904265064E-2</v>
      </c>
      <c r="I144" s="64">
        <f t="shared" si="37"/>
        <v>7076941473.5009995</v>
      </c>
      <c r="J144" s="64">
        <f t="shared" si="38"/>
        <v>13406087.62633761</v>
      </c>
    </row>
    <row r="145" spans="2:10" x14ac:dyDescent="0.35">
      <c r="B145" s="110">
        <v>10</v>
      </c>
      <c r="C145" s="63" t="s">
        <v>11</v>
      </c>
      <c r="D145" s="60" t="s">
        <v>70</v>
      </c>
      <c r="E145" s="64"/>
      <c r="F145" s="64"/>
      <c r="G145" s="64"/>
      <c r="H145" s="65">
        <f t="shared" si="36"/>
        <v>0</v>
      </c>
      <c r="I145" s="64">
        <f t="shared" si="37"/>
        <v>0</v>
      </c>
      <c r="J145" s="64" t="e">
        <f t="shared" si="38"/>
        <v>#DIV/0!</v>
      </c>
    </row>
    <row r="146" spans="2:10" x14ac:dyDescent="0.35">
      <c r="B146" s="110">
        <v>10</v>
      </c>
      <c r="C146" s="63" t="s">
        <v>14</v>
      </c>
      <c r="D146" s="60" t="s">
        <v>65</v>
      </c>
      <c r="E146" s="64">
        <v>23.3</v>
      </c>
      <c r="F146" s="64">
        <v>416365700</v>
      </c>
      <c r="G146" s="64">
        <v>581090</v>
      </c>
      <c r="H146" s="65">
        <f t="shared" si="36"/>
        <v>1.3956240871906595E-3</v>
      </c>
      <c r="I146" s="64">
        <f t="shared" si="37"/>
        <v>415784610</v>
      </c>
      <c r="J146" s="64">
        <f t="shared" si="38"/>
        <v>17869772.53218884</v>
      </c>
    </row>
    <row r="147" spans="2:10" x14ac:dyDescent="0.35">
      <c r="B147" s="110">
        <v>10</v>
      </c>
      <c r="C147" s="63" t="s">
        <v>14</v>
      </c>
      <c r="D147" s="60" t="s">
        <v>80</v>
      </c>
      <c r="E147" s="64"/>
      <c r="F147" s="64"/>
      <c r="G147" s="64"/>
      <c r="H147" s="65">
        <f t="shared" si="36"/>
        <v>0</v>
      </c>
      <c r="I147" s="64">
        <f t="shared" si="37"/>
        <v>0</v>
      </c>
      <c r="J147" s="64" t="e">
        <f t="shared" si="38"/>
        <v>#DIV/0!</v>
      </c>
    </row>
    <row r="148" spans="2:10" x14ac:dyDescent="0.35">
      <c r="B148" s="110">
        <v>10</v>
      </c>
      <c r="C148" s="63" t="s">
        <v>14</v>
      </c>
      <c r="D148" s="60" t="s">
        <v>15</v>
      </c>
      <c r="E148" s="64"/>
      <c r="F148" s="64"/>
      <c r="G148" s="64"/>
      <c r="H148" s="65">
        <f t="shared" si="36"/>
        <v>0</v>
      </c>
      <c r="I148" s="64">
        <f t="shared" si="37"/>
        <v>0</v>
      </c>
      <c r="J148" s="64" t="e">
        <f t="shared" si="38"/>
        <v>#DIV/0!</v>
      </c>
    </row>
    <row r="149" spans="2:10" x14ac:dyDescent="0.35">
      <c r="B149" s="110">
        <v>10</v>
      </c>
      <c r="C149" s="63" t="s">
        <v>14</v>
      </c>
      <c r="D149" s="60" t="s">
        <v>116</v>
      </c>
      <c r="E149" s="64">
        <v>2501.4789999999998</v>
      </c>
      <c r="F149" s="64">
        <v>26320283702</v>
      </c>
      <c r="G149" s="64">
        <v>2183661479</v>
      </c>
      <c r="H149" s="65">
        <f t="shared" si="36"/>
        <v>8.2964967388785019E-2</v>
      </c>
      <c r="I149" s="64">
        <f t="shared" si="37"/>
        <v>24136622223</v>
      </c>
      <c r="J149" s="64">
        <f t="shared" si="38"/>
        <v>10521888.731426489</v>
      </c>
    </row>
    <row r="150" spans="2:10" x14ac:dyDescent="0.35">
      <c r="B150" s="110">
        <v>10</v>
      </c>
      <c r="C150" s="63" t="s">
        <v>16</v>
      </c>
      <c r="D150" s="60" t="s">
        <v>66</v>
      </c>
      <c r="E150" s="64">
        <v>364.44071525000004</v>
      </c>
      <c r="F150" s="64">
        <v>6033992670.1551723</v>
      </c>
      <c r="G150" s="64">
        <v>89172305.470272884</v>
      </c>
      <c r="H150" s="65">
        <f t="shared" si="36"/>
        <v>1.477832512315261E-2</v>
      </c>
      <c r="I150" s="64">
        <f t="shared" si="37"/>
        <v>5944820364.6848993</v>
      </c>
      <c r="J150" s="64">
        <f t="shared" si="38"/>
        <v>16556856.623486642</v>
      </c>
    </row>
    <row r="151" spans="2:10" x14ac:dyDescent="0.35">
      <c r="B151" s="110">
        <v>10</v>
      </c>
      <c r="C151" s="63" t="s">
        <v>16</v>
      </c>
      <c r="D151" s="60" t="s">
        <v>82</v>
      </c>
      <c r="E151" s="64"/>
      <c r="F151" s="64"/>
      <c r="G151" s="64"/>
      <c r="H151" s="65">
        <f t="shared" si="36"/>
        <v>0</v>
      </c>
      <c r="I151" s="64">
        <f t="shared" si="37"/>
        <v>0</v>
      </c>
      <c r="J151" s="64" t="e">
        <f t="shared" si="38"/>
        <v>#DIV/0!</v>
      </c>
    </row>
    <row r="152" spans="2:10" ht="14.25" x14ac:dyDescent="0.45">
      <c r="B152" s="110">
        <v>10</v>
      </c>
      <c r="C152" s="63" t="s">
        <v>16</v>
      </c>
      <c r="D152" s="52" t="s">
        <v>69</v>
      </c>
      <c r="E152" s="64"/>
      <c r="F152" s="64"/>
      <c r="G152" s="64"/>
      <c r="H152" s="65">
        <f t="shared" si="36"/>
        <v>0</v>
      </c>
      <c r="I152" s="64">
        <f t="shared" si="37"/>
        <v>0</v>
      </c>
      <c r="J152" s="64" t="e">
        <f t="shared" si="38"/>
        <v>#DIV/0!</v>
      </c>
    </row>
    <row r="153" spans="2:10" x14ac:dyDescent="0.35">
      <c r="B153" s="110">
        <v>10</v>
      </c>
      <c r="C153" s="63" t="s">
        <v>16</v>
      </c>
      <c r="D153" s="60" t="s">
        <v>67</v>
      </c>
      <c r="E153" s="64">
        <v>111.056</v>
      </c>
      <c r="F153" s="64">
        <v>1243568256</v>
      </c>
      <c r="G153" s="64">
        <v>130786342</v>
      </c>
      <c r="H153" s="65">
        <f t="shared" si="36"/>
        <v>0.10517021592419934</v>
      </c>
      <c r="I153" s="64">
        <f t="shared" si="37"/>
        <v>1112781914</v>
      </c>
      <c r="J153" s="64">
        <f t="shared" si="38"/>
        <v>11197668.34750036</v>
      </c>
    </row>
    <row r="154" spans="2:10" x14ac:dyDescent="0.35">
      <c r="B154" s="110">
        <v>10</v>
      </c>
      <c r="C154" s="63" t="s">
        <v>16</v>
      </c>
      <c r="D154" s="60" t="s">
        <v>108</v>
      </c>
      <c r="E154" s="64">
        <v>607.54404</v>
      </c>
      <c r="F154" s="64">
        <v>6490292865.0378656</v>
      </c>
      <c r="G154" s="64">
        <v>868972883.65047836</v>
      </c>
      <c r="H154" s="65">
        <f t="shared" si="36"/>
        <v>0.13388808513272052</v>
      </c>
      <c r="I154" s="64">
        <f t="shared" si="37"/>
        <v>5621319981.3873873</v>
      </c>
      <c r="J154" s="64">
        <f t="shared" si="38"/>
        <v>10682835.214773674</v>
      </c>
    </row>
    <row r="155" spans="2:10" x14ac:dyDescent="0.35">
      <c r="B155" s="110">
        <v>10</v>
      </c>
      <c r="C155" s="63" t="s">
        <v>21</v>
      </c>
      <c r="D155" s="60" t="s">
        <v>68</v>
      </c>
      <c r="E155" s="64"/>
      <c r="F155" s="64"/>
      <c r="G155" s="64"/>
      <c r="H155" s="65">
        <f t="shared" si="36"/>
        <v>0</v>
      </c>
      <c r="I155" s="64">
        <f t="shared" si="37"/>
        <v>0</v>
      </c>
      <c r="J155" s="64" t="e">
        <f t="shared" si="38"/>
        <v>#DIV/0!</v>
      </c>
    </row>
    <row r="156" spans="2:10" x14ac:dyDescent="0.35">
      <c r="B156" s="110">
        <v>11</v>
      </c>
      <c r="C156" s="110" t="s">
        <v>11</v>
      </c>
      <c r="D156" s="106" t="s">
        <v>12</v>
      </c>
      <c r="E156" s="76"/>
      <c r="F156" s="76"/>
      <c r="G156" s="76"/>
      <c r="H156" s="111">
        <f t="shared" ref="H156:H170" si="39">IF(E156=0,0,G156/F156)</f>
        <v>0</v>
      </c>
      <c r="I156" s="76">
        <f t="shared" ref="I156:I170" si="40">F156-G156</f>
        <v>0</v>
      </c>
      <c r="J156" s="76" t="e">
        <f t="shared" ref="J156:J170" si="41">F156/E156</f>
        <v>#DIV/0!</v>
      </c>
    </row>
    <row r="157" spans="2:10" x14ac:dyDescent="0.35">
      <c r="B157" s="110">
        <v>11</v>
      </c>
      <c r="C157" s="63" t="s">
        <v>11</v>
      </c>
      <c r="D157" s="60" t="s">
        <v>13</v>
      </c>
      <c r="E157" s="64">
        <v>96.081999999999994</v>
      </c>
      <c r="F157" s="64">
        <v>5173905994.5150404</v>
      </c>
      <c r="G157" s="64">
        <v>186860539.87575203</v>
      </c>
      <c r="H157" s="65">
        <f t="shared" si="39"/>
        <v>3.61159518696023E-2</v>
      </c>
      <c r="I157" s="64">
        <f t="shared" si="40"/>
        <v>4987045454.6392879</v>
      </c>
      <c r="J157" s="64">
        <f t="shared" si="41"/>
        <v>53848858.209810793</v>
      </c>
    </row>
    <row r="158" spans="2:10" x14ac:dyDescent="0.35">
      <c r="B158" s="110">
        <v>11</v>
      </c>
      <c r="C158" s="63" t="s">
        <v>11</v>
      </c>
      <c r="D158" s="60" t="s">
        <v>20</v>
      </c>
      <c r="E158" s="64"/>
      <c r="F158" s="64"/>
      <c r="G158" s="64"/>
      <c r="H158" s="65">
        <f t="shared" si="39"/>
        <v>0</v>
      </c>
      <c r="I158" s="64">
        <f t="shared" si="40"/>
        <v>0</v>
      </c>
      <c r="J158" s="64" t="e">
        <f t="shared" si="41"/>
        <v>#DIV/0!</v>
      </c>
    </row>
    <row r="159" spans="2:10" x14ac:dyDescent="0.35">
      <c r="B159" s="110">
        <v>11</v>
      </c>
      <c r="C159" s="63" t="s">
        <v>11</v>
      </c>
      <c r="D159" s="60" t="s">
        <v>32</v>
      </c>
      <c r="E159" s="64">
        <v>654.79960000000005</v>
      </c>
      <c r="F159" s="64">
        <v>12533394942</v>
      </c>
      <c r="G159" s="64">
        <v>797341551</v>
      </c>
      <c r="H159" s="65">
        <f t="shared" si="39"/>
        <v>6.3617364224921272E-2</v>
      </c>
      <c r="I159" s="64">
        <f t="shared" si="40"/>
        <v>11736053391</v>
      </c>
      <c r="J159" s="64">
        <f t="shared" si="41"/>
        <v>19140810.321203616</v>
      </c>
    </row>
    <row r="160" spans="2:10" x14ac:dyDescent="0.35">
      <c r="B160" s="110">
        <v>11</v>
      </c>
      <c r="C160" s="63" t="s">
        <v>11</v>
      </c>
      <c r="D160" s="60" t="s">
        <v>70</v>
      </c>
      <c r="E160" s="64"/>
      <c r="F160" s="64"/>
      <c r="G160" s="64"/>
      <c r="H160" s="65">
        <f t="shared" si="39"/>
        <v>0</v>
      </c>
      <c r="I160" s="64">
        <f t="shared" si="40"/>
        <v>0</v>
      </c>
      <c r="J160" s="64" t="e">
        <f t="shared" si="41"/>
        <v>#DIV/0!</v>
      </c>
    </row>
    <row r="161" spans="2:10" x14ac:dyDescent="0.35">
      <c r="B161" s="110">
        <v>11</v>
      </c>
      <c r="C161" s="63" t="s">
        <v>14</v>
      </c>
      <c r="D161" s="60" t="s">
        <v>65</v>
      </c>
      <c r="E161" s="64">
        <v>362.04</v>
      </c>
      <c r="F161" s="64">
        <v>6594436589</v>
      </c>
      <c r="G161" s="64">
        <v>90290463</v>
      </c>
      <c r="H161" s="65">
        <f t="shared" si="39"/>
        <v>1.3691914658882467E-2</v>
      </c>
      <c r="I161" s="64">
        <f t="shared" si="40"/>
        <v>6504146126</v>
      </c>
      <c r="J161" s="64">
        <f t="shared" si="41"/>
        <v>18214662.990277316</v>
      </c>
    </row>
    <row r="162" spans="2:10" x14ac:dyDescent="0.35">
      <c r="B162" s="110">
        <v>11</v>
      </c>
      <c r="C162" s="63" t="s">
        <v>14</v>
      </c>
      <c r="D162" s="60" t="s">
        <v>80</v>
      </c>
      <c r="E162" s="64"/>
      <c r="F162" s="64"/>
      <c r="G162" s="64"/>
      <c r="H162" s="65">
        <f t="shared" si="39"/>
        <v>0</v>
      </c>
      <c r="I162" s="64">
        <f t="shared" si="40"/>
        <v>0</v>
      </c>
      <c r="J162" s="64" t="e">
        <f t="shared" si="41"/>
        <v>#DIV/0!</v>
      </c>
    </row>
    <row r="163" spans="2:10" x14ac:dyDescent="0.35">
      <c r="B163" s="110">
        <v>11</v>
      </c>
      <c r="C163" s="63" t="s">
        <v>14</v>
      </c>
      <c r="D163" s="60" t="s">
        <v>15</v>
      </c>
      <c r="E163" s="64"/>
      <c r="F163" s="64"/>
      <c r="G163" s="64"/>
      <c r="H163" s="65">
        <f t="shared" si="39"/>
        <v>0</v>
      </c>
      <c r="I163" s="64">
        <f t="shared" si="40"/>
        <v>0</v>
      </c>
      <c r="J163" s="64" t="e">
        <f t="shared" si="41"/>
        <v>#DIV/0!</v>
      </c>
    </row>
    <row r="164" spans="2:10" x14ac:dyDescent="0.35">
      <c r="B164" s="110">
        <v>11</v>
      </c>
      <c r="C164" s="63" t="s">
        <v>14</v>
      </c>
      <c r="D164" s="60" t="s">
        <v>116</v>
      </c>
      <c r="E164" s="64">
        <v>1198.32</v>
      </c>
      <c r="F164" s="64">
        <v>12683920980</v>
      </c>
      <c r="G164" s="64">
        <v>458133147</v>
      </c>
      <c r="H164" s="65">
        <f t="shared" si="39"/>
        <v>3.6119205387859489E-2</v>
      </c>
      <c r="I164" s="64">
        <f t="shared" si="40"/>
        <v>12225787833</v>
      </c>
      <c r="J164" s="64">
        <f t="shared" si="41"/>
        <v>10584752.803925496</v>
      </c>
    </row>
    <row r="165" spans="2:10" x14ac:dyDescent="0.35">
      <c r="B165" s="110">
        <v>11</v>
      </c>
      <c r="C165" s="63" t="s">
        <v>16</v>
      </c>
      <c r="D165" s="60" t="s">
        <v>66</v>
      </c>
      <c r="E165" s="64">
        <v>415.21980149060715</v>
      </c>
      <c r="F165" s="64">
        <v>6768749459.9573135</v>
      </c>
      <c r="G165" s="64">
        <v>100030780.19641289</v>
      </c>
      <c r="H165" s="65">
        <f t="shared" si="39"/>
        <v>1.477832512315262E-2</v>
      </c>
      <c r="I165" s="64">
        <f t="shared" si="40"/>
        <v>6668718679.7609005</v>
      </c>
      <c r="J165" s="64">
        <f t="shared" si="41"/>
        <v>16301605.645149928</v>
      </c>
    </row>
    <row r="166" spans="2:10" x14ac:dyDescent="0.35">
      <c r="B166" s="110">
        <v>11</v>
      </c>
      <c r="C166" s="63" t="s">
        <v>16</v>
      </c>
      <c r="D166" s="60" t="s">
        <v>82</v>
      </c>
      <c r="E166" s="64"/>
      <c r="F166" s="64"/>
      <c r="G166" s="64"/>
      <c r="H166" s="65">
        <f t="shared" si="39"/>
        <v>0</v>
      </c>
      <c r="I166" s="64">
        <f t="shared" si="40"/>
        <v>0</v>
      </c>
      <c r="J166" s="64" t="e">
        <f t="shared" si="41"/>
        <v>#DIV/0!</v>
      </c>
    </row>
    <row r="167" spans="2:10" ht="14.25" x14ac:dyDescent="0.45">
      <c r="B167" s="110">
        <v>11</v>
      </c>
      <c r="C167" s="63" t="s">
        <v>16</v>
      </c>
      <c r="D167" s="52" t="s">
        <v>69</v>
      </c>
      <c r="E167" s="64"/>
      <c r="F167" s="64"/>
      <c r="G167" s="64"/>
      <c r="H167" s="65">
        <f t="shared" si="39"/>
        <v>0</v>
      </c>
      <c r="I167" s="64">
        <f t="shared" si="40"/>
        <v>0</v>
      </c>
      <c r="J167" s="64" t="e">
        <f t="shared" si="41"/>
        <v>#DIV/0!</v>
      </c>
    </row>
    <row r="168" spans="2:10" x14ac:dyDescent="0.35">
      <c r="B168" s="110">
        <v>11</v>
      </c>
      <c r="C168" s="63" t="s">
        <v>16</v>
      </c>
      <c r="D168" s="60" t="s">
        <v>67</v>
      </c>
      <c r="E168" s="64"/>
      <c r="F168" s="64"/>
      <c r="G168" s="64"/>
      <c r="H168" s="65">
        <f t="shared" si="39"/>
        <v>0</v>
      </c>
      <c r="I168" s="64">
        <f t="shared" si="40"/>
        <v>0</v>
      </c>
      <c r="J168" s="64" t="e">
        <f t="shared" si="41"/>
        <v>#DIV/0!</v>
      </c>
    </row>
    <row r="169" spans="2:10" x14ac:dyDescent="0.35">
      <c r="B169" s="110">
        <v>11</v>
      </c>
      <c r="C169" s="63" t="s">
        <v>16</v>
      </c>
      <c r="D169" s="60" t="s">
        <v>108</v>
      </c>
      <c r="E169" s="64">
        <v>622.26300000000003</v>
      </c>
      <c r="F169" s="64">
        <v>7725638642.499999</v>
      </c>
      <c r="G169" s="64">
        <v>1485198269.7600002</v>
      </c>
      <c r="H169" s="65">
        <f t="shared" si="39"/>
        <v>0.19224278256941532</v>
      </c>
      <c r="I169" s="64">
        <f t="shared" si="40"/>
        <v>6240440372.7399988</v>
      </c>
      <c r="J169" s="64">
        <f t="shared" si="41"/>
        <v>12415391.3096231</v>
      </c>
    </row>
    <row r="170" spans="2:10" x14ac:dyDescent="0.35">
      <c r="B170" s="110">
        <v>11</v>
      </c>
      <c r="C170" s="63" t="s">
        <v>21</v>
      </c>
      <c r="D170" s="60" t="s">
        <v>68</v>
      </c>
      <c r="E170" s="64"/>
      <c r="F170" s="64"/>
      <c r="G170" s="64"/>
      <c r="H170" s="65">
        <f t="shared" si="39"/>
        <v>0</v>
      </c>
      <c r="I170" s="64">
        <f t="shared" si="40"/>
        <v>0</v>
      </c>
      <c r="J170" s="64" t="e">
        <f t="shared" si="41"/>
        <v>#DIV/0!</v>
      </c>
    </row>
    <row r="171" spans="2:10" x14ac:dyDescent="0.35">
      <c r="B171" s="110">
        <v>12</v>
      </c>
      <c r="C171" s="110" t="s">
        <v>11</v>
      </c>
      <c r="D171" s="106" t="s">
        <v>12</v>
      </c>
      <c r="E171" s="76"/>
      <c r="F171" s="76"/>
      <c r="G171" s="76"/>
      <c r="H171" s="111">
        <f t="shared" ref="H171:H185" si="42">IF(E171=0,0,G171/F171)</f>
        <v>0</v>
      </c>
      <c r="I171" s="76">
        <f t="shared" ref="I171:I185" si="43">F171-G171</f>
        <v>0</v>
      </c>
      <c r="J171" s="76" t="e">
        <f t="shared" ref="J171:J185" si="44">F171/E171</f>
        <v>#DIV/0!</v>
      </c>
    </row>
    <row r="172" spans="2:10" x14ac:dyDescent="0.35">
      <c r="B172" s="110">
        <v>12</v>
      </c>
      <c r="C172" s="63" t="s">
        <v>11</v>
      </c>
      <c r="D172" s="60" t="s">
        <v>13</v>
      </c>
      <c r="E172" s="64">
        <v>92.081980000000001</v>
      </c>
      <c r="F172" s="64">
        <v>4719608410</v>
      </c>
      <c r="G172" s="64">
        <v>331468920.5</v>
      </c>
      <c r="H172" s="65">
        <f t="shared" si="42"/>
        <v>7.0232292958389744E-2</v>
      </c>
      <c r="I172" s="64">
        <f t="shared" si="43"/>
        <v>4388139489.5</v>
      </c>
      <c r="J172" s="64">
        <f t="shared" si="44"/>
        <v>51254419.268569157</v>
      </c>
    </row>
    <row r="173" spans="2:10" x14ac:dyDescent="0.35">
      <c r="B173" s="110">
        <v>12</v>
      </c>
      <c r="C173" s="63" t="s">
        <v>11</v>
      </c>
      <c r="D173" s="60" t="s">
        <v>20</v>
      </c>
      <c r="E173" s="64"/>
      <c r="F173" s="64"/>
      <c r="G173" s="64"/>
      <c r="H173" s="65">
        <f t="shared" si="42"/>
        <v>0</v>
      </c>
      <c r="I173" s="64">
        <f t="shared" si="43"/>
        <v>0</v>
      </c>
      <c r="J173" s="64" t="e">
        <f t="shared" si="44"/>
        <v>#DIV/0!</v>
      </c>
    </row>
    <row r="174" spans="2:10" x14ac:dyDescent="0.35">
      <c r="B174" s="110">
        <v>12</v>
      </c>
      <c r="C174" s="63" t="s">
        <v>11</v>
      </c>
      <c r="D174" s="60" t="s">
        <v>32</v>
      </c>
      <c r="E174" s="64">
        <v>159.36362000000003</v>
      </c>
      <c r="F174" s="64">
        <v>2601226340</v>
      </c>
      <c r="G174" s="64">
        <v>137369860</v>
      </c>
      <c r="H174" s="65">
        <f t="shared" si="42"/>
        <v>5.2809652850124532E-2</v>
      </c>
      <c r="I174" s="64">
        <f t="shared" si="43"/>
        <v>2463856480</v>
      </c>
      <c r="J174" s="64">
        <f t="shared" si="44"/>
        <v>16322585.669175936</v>
      </c>
    </row>
    <row r="175" spans="2:10" x14ac:dyDescent="0.35">
      <c r="B175" s="110">
        <v>12</v>
      </c>
      <c r="C175" s="63" t="s">
        <v>11</v>
      </c>
      <c r="D175" s="60" t="s">
        <v>70</v>
      </c>
      <c r="E175" s="64"/>
      <c r="F175" s="64"/>
      <c r="G175" s="64"/>
      <c r="H175" s="65">
        <f t="shared" si="42"/>
        <v>0</v>
      </c>
      <c r="I175" s="64">
        <f t="shared" si="43"/>
        <v>0</v>
      </c>
      <c r="J175" s="64" t="e">
        <f t="shared" si="44"/>
        <v>#DIV/0!</v>
      </c>
    </row>
    <row r="176" spans="2:10" x14ac:dyDescent="0.35">
      <c r="B176" s="110">
        <v>12</v>
      </c>
      <c r="C176" s="63" t="s">
        <v>14</v>
      </c>
      <c r="D176" s="60" t="s">
        <v>65</v>
      </c>
      <c r="E176" s="64">
        <v>47.42</v>
      </c>
      <c r="F176" s="64">
        <v>805784440</v>
      </c>
      <c r="G176" s="64">
        <v>11826230</v>
      </c>
      <c r="H176" s="65">
        <f t="shared" si="42"/>
        <v>1.4676667124522782E-2</v>
      </c>
      <c r="I176" s="64">
        <f t="shared" si="43"/>
        <v>793958210</v>
      </c>
      <c r="J176" s="64">
        <f t="shared" si="44"/>
        <v>16992501.89793336</v>
      </c>
    </row>
    <row r="177" spans="2:10" x14ac:dyDescent="0.35">
      <c r="B177" s="110">
        <v>12</v>
      </c>
      <c r="C177" s="63" t="s">
        <v>14</v>
      </c>
      <c r="D177" s="60" t="s">
        <v>80</v>
      </c>
      <c r="E177" s="64"/>
      <c r="F177" s="64"/>
      <c r="G177" s="64"/>
      <c r="H177" s="65">
        <f t="shared" si="42"/>
        <v>0</v>
      </c>
      <c r="I177" s="64">
        <f t="shared" si="43"/>
        <v>0</v>
      </c>
      <c r="J177" s="64" t="e">
        <f t="shared" si="44"/>
        <v>#DIV/0!</v>
      </c>
    </row>
    <row r="178" spans="2:10" x14ac:dyDescent="0.35">
      <c r="B178" s="110">
        <v>12</v>
      </c>
      <c r="C178" s="63" t="s">
        <v>14</v>
      </c>
      <c r="D178" s="60" t="s">
        <v>15</v>
      </c>
      <c r="E178" s="64"/>
      <c r="F178" s="64"/>
      <c r="G178" s="64"/>
      <c r="H178" s="65">
        <f t="shared" si="42"/>
        <v>0</v>
      </c>
      <c r="I178" s="64">
        <f t="shared" si="43"/>
        <v>0</v>
      </c>
      <c r="J178" s="64" t="e">
        <f t="shared" si="44"/>
        <v>#DIV/0!</v>
      </c>
    </row>
    <row r="179" spans="2:10" x14ac:dyDescent="0.35">
      <c r="B179" s="110">
        <v>12</v>
      </c>
      <c r="C179" s="63" t="s">
        <v>14</v>
      </c>
      <c r="D179" s="60" t="s">
        <v>116</v>
      </c>
      <c r="E179" s="64">
        <v>3905.6010000000001</v>
      </c>
      <c r="F179" s="64">
        <v>44027663284</v>
      </c>
      <c r="G179" s="64">
        <v>3322030756.0000334</v>
      </c>
      <c r="H179" s="65">
        <f t="shared" si="42"/>
        <v>7.5453260705009656E-2</v>
      </c>
      <c r="I179" s="64">
        <f t="shared" si="43"/>
        <v>40705632527.999969</v>
      </c>
      <c r="J179" s="64">
        <f t="shared" si="44"/>
        <v>11272954.734495407</v>
      </c>
    </row>
    <row r="180" spans="2:10" x14ac:dyDescent="0.35">
      <c r="B180" s="110">
        <v>12</v>
      </c>
      <c r="C180" s="63" t="s">
        <v>16</v>
      </c>
      <c r="D180" s="60" t="s">
        <v>66</v>
      </c>
      <c r="E180" s="64">
        <v>279.90684700000003</v>
      </c>
      <c r="F180" s="64">
        <v>4771724418.3044014</v>
      </c>
      <c r="G180" s="64">
        <v>70518094.851788789</v>
      </c>
      <c r="H180" s="65">
        <f t="shared" si="42"/>
        <v>1.4778325123152627E-2</v>
      </c>
      <c r="I180" s="64">
        <f t="shared" si="43"/>
        <v>4701206323.4526129</v>
      </c>
      <c r="J180" s="64">
        <f t="shared" si="44"/>
        <v>17047544.4579046</v>
      </c>
    </row>
    <row r="181" spans="2:10" x14ac:dyDescent="0.35">
      <c r="B181" s="110">
        <v>12</v>
      </c>
      <c r="C181" s="63" t="s">
        <v>16</v>
      </c>
      <c r="D181" s="60" t="s">
        <v>82</v>
      </c>
      <c r="E181" s="64"/>
      <c r="F181" s="64"/>
      <c r="G181" s="64"/>
      <c r="H181" s="65">
        <f t="shared" si="42"/>
        <v>0</v>
      </c>
      <c r="I181" s="64">
        <f t="shared" si="43"/>
        <v>0</v>
      </c>
      <c r="J181" s="64" t="e">
        <f t="shared" si="44"/>
        <v>#DIV/0!</v>
      </c>
    </row>
    <row r="182" spans="2:10" ht="14.25" x14ac:dyDescent="0.45">
      <c r="B182" s="110">
        <v>12</v>
      </c>
      <c r="C182" s="63" t="s">
        <v>16</v>
      </c>
      <c r="D182" s="52" t="s">
        <v>69</v>
      </c>
      <c r="E182" s="64"/>
      <c r="F182" s="64"/>
      <c r="G182" s="64"/>
      <c r="H182" s="65">
        <f t="shared" si="42"/>
        <v>0</v>
      </c>
      <c r="I182" s="64">
        <f t="shared" si="43"/>
        <v>0</v>
      </c>
      <c r="J182" s="64" t="e">
        <f t="shared" si="44"/>
        <v>#DIV/0!</v>
      </c>
    </row>
    <row r="183" spans="2:10" x14ac:dyDescent="0.35">
      <c r="B183" s="110">
        <v>12</v>
      </c>
      <c r="C183" s="63" t="s">
        <v>16</v>
      </c>
      <c r="D183" s="60" t="s">
        <v>67</v>
      </c>
      <c r="E183" s="64">
        <v>7.867</v>
      </c>
      <c r="F183" s="64">
        <v>86533938</v>
      </c>
      <c r="G183" s="64">
        <v>11336738</v>
      </c>
      <c r="H183" s="65">
        <f t="shared" si="42"/>
        <v>0.13100915388826984</v>
      </c>
      <c r="I183" s="64">
        <f t="shared" si="43"/>
        <v>75197200</v>
      </c>
      <c r="J183" s="64">
        <f t="shared" si="44"/>
        <v>10999610.779204272</v>
      </c>
    </row>
    <row r="184" spans="2:10" x14ac:dyDescent="0.35">
      <c r="B184" s="110">
        <v>12</v>
      </c>
      <c r="C184" s="63" t="s">
        <v>16</v>
      </c>
      <c r="D184" s="60" t="s">
        <v>108</v>
      </c>
      <c r="E184" s="64"/>
      <c r="F184" s="64"/>
      <c r="G184" s="64"/>
      <c r="H184" s="65">
        <f t="shared" si="42"/>
        <v>0</v>
      </c>
      <c r="I184" s="64">
        <f t="shared" si="43"/>
        <v>0</v>
      </c>
      <c r="J184" s="64" t="e">
        <f t="shared" si="44"/>
        <v>#DIV/0!</v>
      </c>
    </row>
    <row r="185" spans="2:10" x14ac:dyDescent="0.35">
      <c r="B185" s="110">
        <v>12</v>
      </c>
      <c r="C185" s="63" t="s">
        <v>21</v>
      </c>
      <c r="D185" s="60" t="s">
        <v>68</v>
      </c>
      <c r="E185" s="64"/>
      <c r="F185" s="64"/>
      <c r="G185" s="64"/>
      <c r="H185" s="65">
        <f t="shared" si="42"/>
        <v>0</v>
      </c>
      <c r="I185" s="64">
        <f t="shared" si="43"/>
        <v>0</v>
      </c>
      <c r="J185" s="64" t="e">
        <f t="shared" si="44"/>
        <v>#DIV/0!</v>
      </c>
    </row>
    <row r="187" spans="2:10" x14ac:dyDescent="0.35">
      <c r="E187" s="102">
        <f>SUM(E8:E186)</f>
        <v>25402.838685639737</v>
      </c>
      <c r="F187" s="102">
        <f>SUM(F8:F186)</f>
        <v>377193938586.65613</v>
      </c>
      <c r="G187" s="102">
        <f>SUM(G8:G186)</f>
        <v>33310671686.820175</v>
      </c>
      <c r="H187" s="103">
        <f t="shared" ref="H187" si="45">IF(E187=0,0,G187/F187)</f>
        <v>8.8311789451429423E-2</v>
      </c>
      <c r="I187" s="102">
        <f>SUM(I8:I186)</f>
        <v>343883266899.83594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C7D2-A7A5-4AB4-A812-D83EE2D1E77A}">
  <dimension ref="B4:H45"/>
  <sheetViews>
    <sheetView showGridLines="0" tabSelected="1" workbookViewId="0">
      <selection activeCell="C13" sqref="C13"/>
    </sheetView>
  </sheetViews>
  <sheetFormatPr defaultRowHeight="14.25" x14ac:dyDescent="0.45"/>
  <cols>
    <col min="2" max="2" width="31.19921875" bestFit="1" customWidth="1"/>
    <col min="3" max="3" width="9.59765625" customWidth="1"/>
    <col min="4" max="4" width="12.19921875" customWidth="1"/>
    <col min="5" max="5" width="13.06640625" customWidth="1"/>
    <col min="7" max="7" width="10.86328125" bestFit="1" customWidth="1"/>
    <col min="8" max="8" width="9.86328125" bestFit="1" customWidth="1"/>
  </cols>
  <sheetData>
    <row r="4" spans="2:6" ht="27" x14ac:dyDescent="0.45">
      <c r="B4" s="74" t="s">
        <v>71</v>
      </c>
      <c r="C4" s="72" t="s">
        <v>17</v>
      </c>
      <c r="D4" s="72" t="s">
        <v>18</v>
      </c>
      <c r="E4" s="72" t="s">
        <v>19</v>
      </c>
    </row>
    <row r="5" spans="2:6" x14ac:dyDescent="0.45">
      <c r="B5" s="60" t="s">
        <v>12</v>
      </c>
      <c r="C5" s="18">
        <f>SUMIF('Realisasi Hilirisasi'!$D:$D,Resume!$B5,'Realisasi Hilirisasi'!E:E)</f>
        <v>47.076559999999994</v>
      </c>
      <c r="D5" s="49">
        <f>SUMIF('Realisasi Hilirisasi'!$D:$D,Resume!$B5,'Realisasi Hilirisasi'!F:F)/1000000000</f>
        <v>1.1010625759999999</v>
      </c>
      <c r="E5" s="49">
        <f>SUMIF('Realisasi Hilirisasi'!$D:$D,Resume!$B5,'Realisasi Hilirisasi'!G:G)/1000000000</f>
        <v>9.3591919999999995E-2</v>
      </c>
      <c r="F5" s="18"/>
    </row>
    <row r="6" spans="2:6" x14ac:dyDescent="0.45">
      <c r="B6" s="60" t="s">
        <v>13</v>
      </c>
      <c r="C6" s="18">
        <f>SUMIF('Realisasi Hilirisasi'!$D:$D,Resume!$B6,'Realisasi Hilirisasi'!E:E)</f>
        <v>1962.1940525822838</v>
      </c>
      <c r="D6" s="49">
        <f>SUMIF('Realisasi Hilirisasi'!$D:$D,Resume!$B6,'Realisasi Hilirisasi'!F:F)/1000000000</f>
        <v>59.722105064055036</v>
      </c>
      <c r="E6" s="49">
        <f>SUMIF('Realisasi Hilirisasi'!$D:$D,Resume!$B6,'Realisasi Hilirisasi'!G:G)/1000000000</f>
        <v>0.81948818784035615</v>
      </c>
    </row>
    <row r="7" spans="2:6" x14ac:dyDescent="0.45">
      <c r="B7" s="60" t="s">
        <v>20</v>
      </c>
      <c r="C7" s="18">
        <f>SUMIF('Realisasi Hilirisasi'!$D:$D,Resume!$B7,'Realisasi Hilirisasi'!E:E)</f>
        <v>21.700000000000003</v>
      </c>
      <c r="D7" s="49">
        <f>SUMIF('Realisasi Hilirisasi'!$D:$D,Resume!$B7,'Realisasi Hilirisasi'!F:F)/1000000000</f>
        <v>0.69125000000000003</v>
      </c>
      <c r="E7" s="49">
        <f>SUMIF('Realisasi Hilirisasi'!$D:$D,Resume!$B7,'Realisasi Hilirisasi'!G:G)/1000000000</f>
        <v>2.6349999999999998E-2</v>
      </c>
    </row>
    <row r="8" spans="2:6" x14ac:dyDescent="0.45">
      <c r="B8" s="60" t="s">
        <v>32</v>
      </c>
      <c r="C8" s="18">
        <f>SUMIF('Realisasi Hilirisasi'!$D:$D,Resume!$B8,'Realisasi Hilirisasi'!E:E)</f>
        <v>3397.3237811578947</v>
      </c>
      <c r="D8" s="49">
        <f>SUMIF('Realisasi Hilirisasi'!$D:$D,Resume!$B8,'Realisasi Hilirisasi'!F:F)/1000000000</f>
        <v>45.352707499800694</v>
      </c>
      <c r="E8" s="49">
        <f>SUMIF('Realisasi Hilirisasi'!$D:$D,Resume!$B8,'Realisasi Hilirisasi'!G:G)/1000000000</f>
        <v>2.2998410404044378</v>
      </c>
    </row>
    <row r="9" spans="2:6" hidden="1" x14ac:dyDescent="0.45">
      <c r="B9" s="60" t="s">
        <v>70</v>
      </c>
      <c r="C9" s="18">
        <f>SUMIF('Realisasi Hilirisasi'!$D:$D,Resume!$B9,'Realisasi Hilirisasi'!E:E)</f>
        <v>0</v>
      </c>
      <c r="D9" s="49">
        <f>SUMIF('Realisasi Hilirisasi'!$D:$D,Resume!$B9,'Realisasi Hilirisasi'!F:F)/1000000000</f>
        <v>0</v>
      </c>
      <c r="E9" s="49">
        <f>SUMIF('Realisasi Hilirisasi'!$D:$D,Resume!$B9,'Realisasi Hilirisasi'!G:G)/1000000000</f>
        <v>0</v>
      </c>
    </row>
    <row r="10" spans="2:6" x14ac:dyDescent="0.45">
      <c r="B10" s="60" t="s">
        <v>65</v>
      </c>
      <c r="C10" s="18">
        <f>SUMIF('Realisasi Hilirisasi'!$D:$D,Resume!$B10,'Realisasi Hilirisasi'!E:E)</f>
        <v>2303.9270000000001</v>
      </c>
      <c r="D10" s="49">
        <f>SUMIF('Realisasi Hilirisasi'!$D:$D,Resume!$B10,'Realisasi Hilirisasi'!F:F)/1000000000</f>
        <v>41.300999150863269</v>
      </c>
      <c r="E10" s="49">
        <f>SUMIF('Realisasi Hilirisasi'!$D:$D,Resume!$B10,'Realisasi Hilirisasi'!G:G)/1000000000</f>
        <v>1.253736127</v>
      </c>
    </row>
    <row r="11" spans="2:6" x14ac:dyDescent="0.45">
      <c r="B11" s="60" t="s">
        <v>80</v>
      </c>
      <c r="C11" s="18">
        <f>SUMIF('Realisasi Hilirisasi'!$D:$D,Resume!$B11,'Realisasi Hilirisasi'!E:E)</f>
        <v>0</v>
      </c>
      <c r="D11" s="49">
        <f>SUMIF('Realisasi Hilirisasi'!$D:$D,Resume!$B11,'Realisasi Hilirisasi'!F:F)/1000000000</f>
        <v>0</v>
      </c>
      <c r="E11" s="49">
        <f>SUMIF('Realisasi Hilirisasi'!$D:$D,Resume!$B11,'Realisasi Hilirisasi'!G:G)/1000000000</f>
        <v>0</v>
      </c>
    </row>
    <row r="12" spans="2:6" x14ac:dyDescent="0.45">
      <c r="B12" s="60" t="s">
        <v>15</v>
      </c>
      <c r="C12" s="18">
        <f>SUMIF('Realisasi Hilirisasi'!$D:$D,Resume!$B12,'Realisasi Hilirisasi'!E:E)</f>
        <v>112</v>
      </c>
      <c r="D12" s="49">
        <f>SUMIF('Realisasi Hilirisasi'!$D:$D,Resume!$B12,'Realisasi Hilirisasi'!F:F)/1000000000</f>
        <v>8.7773616309999998</v>
      </c>
      <c r="E12" s="49">
        <f>SUMIF('Realisasi Hilirisasi'!$D:$D,Resume!$B12,'Realisasi Hilirisasi'!G:G)/1000000000</f>
        <v>2.75485004</v>
      </c>
    </row>
    <row r="13" spans="2:6" x14ac:dyDescent="0.45">
      <c r="B13" s="60" t="s">
        <v>116</v>
      </c>
      <c r="C13" s="18">
        <f>SUMIF('Realisasi Hilirisasi'!$D:$D,Resume!$B13,'Realisasi Hilirisasi'!E:E)</f>
        <v>11668.013000000001</v>
      </c>
      <c r="D13" s="49">
        <f>SUMIF('Realisasi Hilirisasi'!$D:$D,Resume!$B13,'Realisasi Hilirisasi'!F:F)/1000000000</f>
        <v>132.14177257700001</v>
      </c>
      <c r="E13" s="49">
        <f>SUMIF('Realisasi Hilirisasi'!$D:$D,Resume!$B13,'Realisasi Hilirisasi'!G:G)/1000000000</f>
        <v>12.180810142000034</v>
      </c>
    </row>
    <row r="14" spans="2:6" x14ac:dyDescent="0.45">
      <c r="B14" s="60" t="s">
        <v>66</v>
      </c>
      <c r="C14" s="18">
        <f>SUMIF('Realisasi Hilirisasi'!$D:$D,Resume!$B14,'Realisasi Hilirisasi'!E:E)</f>
        <v>3565.0795818995757</v>
      </c>
      <c r="D14" s="49">
        <f>SUMIF('Realisasi Hilirisasi'!$D:$D,Resume!$B14,'Realisasi Hilirisasi'!F:F)/1000000000</f>
        <v>59.495082834839231</v>
      </c>
      <c r="E14" s="49">
        <f>SUMIF('Realisasi Hilirisasi'!$D:$D,Resume!$B14,'Realisasi Hilirisasi'!G:G)/1000000000</f>
        <v>7.1631849893184754</v>
      </c>
    </row>
    <row r="15" spans="2:6" hidden="1" x14ac:dyDescent="0.45">
      <c r="B15" s="60" t="s">
        <v>82</v>
      </c>
      <c r="C15" s="18">
        <f>SUMIF('Realisasi Hilirisasi'!$D:$D,Resume!$B15,'Realisasi Hilirisasi'!E:E)</f>
        <v>0</v>
      </c>
      <c r="D15" s="49">
        <f>SUMIF('Realisasi Hilirisasi'!$D:$D,Resume!$B15,'Realisasi Hilirisasi'!F:F)/1000000000</f>
        <v>0</v>
      </c>
      <c r="E15" s="49">
        <f>SUMIF('Realisasi Hilirisasi'!$D:$D,Resume!$B15,'Realisasi Hilirisasi'!G:G)/1000000000</f>
        <v>0</v>
      </c>
    </row>
    <row r="16" spans="2:6" hidden="1" x14ac:dyDescent="0.45">
      <c r="B16" s="60" t="s">
        <v>69</v>
      </c>
      <c r="C16" s="18">
        <f>SUMIF('Realisasi Hilirisasi'!$D:$D,Resume!$B16,'Realisasi Hilirisasi'!E:E)</f>
        <v>0</v>
      </c>
      <c r="D16" s="49">
        <f>SUMIF('Realisasi Hilirisasi'!$D:$D,Resume!$B16,'Realisasi Hilirisasi'!F:F)/1000000000</f>
        <v>0</v>
      </c>
      <c r="E16" s="49">
        <f>SUMIF('Realisasi Hilirisasi'!$D:$D,Resume!$B16,'Realisasi Hilirisasi'!G:G)/1000000000</f>
        <v>0</v>
      </c>
    </row>
    <row r="17" spans="2:8" x14ac:dyDescent="0.45">
      <c r="B17" s="60" t="s">
        <v>67</v>
      </c>
      <c r="C17" s="18">
        <f>SUMIF('Realisasi Hilirisasi'!$D:$D,Resume!$B17,'Realisasi Hilirisasi'!E:E)</f>
        <v>137.22239999999999</v>
      </c>
      <c r="D17" s="49">
        <f>SUMIF('Realisasi Hilirisasi'!$D:$D,Resume!$B17,'Realisasi Hilirisasi'!F:F)/1000000000</f>
        <v>1.5468631827999999</v>
      </c>
      <c r="E17" s="49">
        <f>SUMIF('Realisasi Hilirisasi'!$D:$D,Resume!$B17,'Realisasi Hilirisasi'!G:G)/1000000000</f>
        <v>0.17836118780000002</v>
      </c>
    </row>
    <row r="18" spans="2:8" hidden="1" x14ac:dyDescent="0.45">
      <c r="B18" s="60" t="s">
        <v>81</v>
      </c>
      <c r="C18" s="18">
        <f>SUMIF('Realisasi Hilirisasi'!$D:$D,Resume!$B18,'Realisasi Hilirisasi'!E:E)</f>
        <v>0</v>
      </c>
      <c r="D18" s="49">
        <f>SUMIF('Realisasi Hilirisasi'!$D:$D,Resume!$B18,'Realisasi Hilirisasi'!F:F)/1000000000</f>
        <v>0</v>
      </c>
      <c r="E18" s="49">
        <f>SUMIF('Realisasi Hilirisasi'!$D:$D,Resume!$B18,'Realisasi Hilirisasi'!G:G)/1000000000</f>
        <v>0</v>
      </c>
    </row>
    <row r="19" spans="2:8" x14ac:dyDescent="0.45">
      <c r="B19" s="60" t="s">
        <v>108</v>
      </c>
      <c r="C19" s="18">
        <f>SUMIF('Realisasi Hilirisasi'!$D:$D,Resume!$B19,'Realisasi Hilirisasi'!E:E)</f>
        <v>2188.30231</v>
      </c>
      <c r="D19" s="49">
        <f>SUMIF('Realisasi Hilirisasi'!$D:$D,Resume!$B19,'Realisasi Hilirisasi'!F:F)/1000000000</f>
        <v>27.064734070297863</v>
      </c>
      <c r="E19" s="49">
        <f>SUMIF('Realisasi Hilirisasi'!$D:$D,Resume!$B19,'Realisasi Hilirisasi'!G:G)/1000000000</f>
        <v>6.5404580524568789</v>
      </c>
    </row>
    <row r="20" spans="2:8" hidden="1" x14ac:dyDescent="0.45">
      <c r="B20" s="60" t="s">
        <v>68</v>
      </c>
      <c r="C20" s="18">
        <f>SUMIF('Realisasi Hilirisasi'!$D:$D,Resume!$B20,'Realisasi Hilirisasi'!E:E)</f>
        <v>0</v>
      </c>
      <c r="D20" s="49">
        <f>SUMIF('Realisasi Hilirisasi'!$D:$D,Resume!$B20,'Realisasi Hilirisasi'!F:F)/1000000000</f>
        <v>0</v>
      </c>
      <c r="E20" s="49">
        <f>SUMIF('Realisasi Hilirisasi'!$D:$D,Resume!$B20,'Realisasi Hilirisasi'!G:G)/1000000000</f>
        <v>0</v>
      </c>
    </row>
    <row r="21" spans="2:8" ht="6" customHeight="1" x14ac:dyDescent="0.45">
      <c r="C21" s="40"/>
    </row>
    <row r="22" spans="2:8" ht="16.899999999999999" x14ac:dyDescent="0.5">
      <c r="B22" s="70" t="s">
        <v>23</v>
      </c>
      <c r="C22" s="73">
        <f>SUM(C5:C21)</f>
        <v>25402.838685639756</v>
      </c>
      <c r="D22" s="71">
        <f t="shared" ref="D22:E22" si="0">SUM(D5:D21)</f>
        <v>377.19393858665609</v>
      </c>
      <c r="E22" s="71">
        <f t="shared" si="0"/>
        <v>33.310671686820179</v>
      </c>
    </row>
    <row r="25" spans="2:8" ht="27" x14ac:dyDescent="0.45">
      <c r="B25" s="74" t="s">
        <v>55</v>
      </c>
      <c r="C25" s="72" t="s">
        <v>17</v>
      </c>
      <c r="D25" s="72" t="s">
        <v>18</v>
      </c>
      <c r="E25" s="72" t="s">
        <v>19</v>
      </c>
    </row>
    <row r="26" spans="2:8" x14ac:dyDescent="0.45">
      <c r="B26" t="s">
        <v>11</v>
      </c>
      <c r="C26" s="18">
        <f>SUMIF('Realisasi Hilirisasi'!$C:$C,Resume!$B26,'Realisasi Hilirisasi'!E:E)</f>
        <v>5428.2943937401787</v>
      </c>
      <c r="D26" s="49">
        <f>SUMIF('Realisasi Hilirisasi'!$C:$C,Resume!$B26,'Realisasi Hilirisasi'!F:F)/1000000000</f>
        <v>106.86712513985574</v>
      </c>
      <c r="E26" s="49">
        <f>SUMIF('Realisasi Hilirisasi'!$C:$C,Resume!$B26,'Realisasi Hilirisasi'!G:G)/1000000000</f>
        <v>3.2392711482447938</v>
      </c>
      <c r="F26" s="14">
        <f>E26/C26</f>
        <v>5.9673829628331665E-4</v>
      </c>
      <c r="G26" s="15">
        <f>D26-E26</f>
        <v>103.62785399161095</v>
      </c>
      <c r="H26" s="15">
        <f>G26*1000</f>
        <v>103627.85399161094</v>
      </c>
    </row>
    <row r="27" spans="2:8" x14ac:dyDescent="0.45">
      <c r="B27" t="s">
        <v>14</v>
      </c>
      <c r="C27" s="18">
        <f>SUMIF('Realisasi Hilirisasi'!$C:$C,Resume!$B27,'Realisasi Hilirisasi'!E:E)</f>
        <v>14083.940000000002</v>
      </c>
      <c r="D27" s="49">
        <f>SUMIF('Realisasi Hilirisasi'!$C:$C,Resume!$B27,'Realisasi Hilirisasi'!F:F)/1000000000</f>
        <v>182.22013335886328</v>
      </c>
      <c r="E27" s="49">
        <f>SUMIF('Realisasi Hilirisasi'!$C:$C,Resume!$B27,'Realisasi Hilirisasi'!G:G)/1000000000</f>
        <v>16.189396309000035</v>
      </c>
      <c r="F27" s="14">
        <f t="shared" ref="F27:F28" si="1">E27/C27</f>
        <v>1.1494934165439522E-3</v>
      </c>
    </row>
    <row r="28" spans="2:8" x14ac:dyDescent="0.45">
      <c r="B28" t="s">
        <v>16</v>
      </c>
      <c r="C28" s="18">
        <f>SUMIF('Realisasi Hilirisasi'!$C:$C,Resume!$B28,'Realisasi Hilirisasi'!E:E)</f>
        <v>5890.6042918995763</v>
      </c>
      <c r="D28" s="49">
        <f>SUMIF('Realisasi Hilirisasi'!$C:$C,Resume!$B28,'Realisasi Hilirisasi'!F:F)/1000000000</f>
        <v>88.106680087937093</v>
      </c>
      <c r="E28" s="49">
        <f>SUMIF('Realisasi Hilirisasi'!$C:$C,Resume!$B28,'Realisasi Hilirisasi'!G:G)/1000000000</f>
        <v>13.882004229575353</v>
      </c>
      <c r="F28" s="14">
        <f t="shared" si="1"/>
        <v>2.3566349973066589E-3</v>
      </c>
    </row>
    <row r="29" spans="2:8" hidden="1" x14ac:dyDescent="0.45">
      <c r="B29" t="s">
        <v>21</v>
      </c>
      <c r="C29" s="18">
        <f>SUMIF('Realisasi Hilirisasi'!$C:$C,Resume!$B29,'Realisasi Hilirisasi'!E:E)</f>
        <v>0</v>
      </c>
      <c r="D29" s="49">
        <f>SUMIF('Realisasi Hilirisasi'!$C:$C,Resume!$B29,'Realisasi Hilirisasi'!F:F)/1000000000</f>
        <v>0</v>
      </c>
      <c r="E29" s="49">
        <f>SUMIF('Realisasi Hilirisasi'!$C:$C,Resume!$B29,'Realisasi Hilirisasi'!G:G)/1000000000</f>
        <v>0</v>
      </c>
    </row>
    <row r="30" spans="2:8" ht="5" customHeight="1" x14ac:dyDescent="0.45"/>
    <row r="31" spans="2:8" ht="16.899999999999999" x14ac:dyDescent="0.5">
      <c r="B31" s="70" t="s">
        <v>23</v>
      </c>
      <c r="C31" s="73">
        <f>SUM(C26:C30)</f>
        <v>25402.838685639759</v>
      </c>
      <c r="D31" s="71">
        <f t="shared" ref="D31:E31" si="2">SUM(D26:D30)</f>
        <v>377.19393858665615</v>
      </c>
      <c r="E31" s="71">
        <f t="shared" si="2"/>
        <v>33.310671686820179</v>
      </c>
    </row>
    <row r="33" spans="2:5" ht="27" x14ac:dyDescent="0.45">
      <c r="B33" s="74" t="s">
        <v>55</v>
      </c>
      <c r="C33" s="72" t="s">
        <v>17</v>
      </c>
      <c r="D33" s="72" t="s">
        <v>86</v>
      </c>
      <c r="E33" s="72" t="s">
        <v>87</v>
      </c>
    </row>
    <row r="34" spans="2:5" x14ac:dyDescent="0.45">
      <c r="B34" t="s">
        <v>11</v>
      </c>
      <c r="C34" s="18">
        <f>SUMIF('Realisasi Hilirisasi'!$C:$C,Resume!$B34,'Realisasi Hilirisasi'!E:E)</f>
        <v>5428.2943937401787</v>
      </c>
      <c r="D34" s="18">
        <f>'Per AP'!P10</f>
        <v>25000</v>
      </c>
      <c r="E34" s="13">
        <f>IF(C34=0,0,C34/D34)</f>
        <v>0.21713177574960715</v>
      </c>
    </row>
    <row r="35" spans="2:5" x14ac:dyDescent="0.45">
      <c r="B35" t="s">
        <v>14</v>
      </c>
      <c r="C35" s="18">
        <f>SUMIF('Realisasi Hilirisasi'!$C:$C,Resume!$B35,'Realisasi Hilirisasi'!E:E)</f>
        <v>14083.940000000002</v>
      </c>
      <c r="D35" s="18">
        <f>'Per AP'!P11</f>
        <v>6804</v>
      </c>
      <c r="E35" s="13">
        <f t="shared" ref="E35:E39" si="3">IF(C35=0,0,C35/D35)</f>
        <v>2.0699500293944744</v>
      </c>
    </row>
    <row r="36" spans="2:5" x14ac:dyDescent="0.45">
      <c r="B36" t="s">
        <v>16</v>
      </c>
      <c r="C36" s="18">
        <f>SUMIF('Realisasi Hilirisasi'!$C:$C,Resume!$B36,'Realisasi Hilirisasi'!E:E)</f>
        <v>5890.6042918995763</v>
      </c>
      <c r="D36" s="18">
        <f>'Per AP'!P12</f>
        <v>5000</v>
      </c>
      <c r="E36" s="13">
        <f t="shared" si="3"/>
        <v>1.1781208583799152</v>
      </c>
    </row>
    <row r="37" spans="2:5" hidden="1" x14ac:dyDescent="0.45">
      <c r="B37" t="s">
        <v>21</v>
      </c>
      <c r="C37" s="18">
        <f>SUMIF('Realisasi Hilirisasi'!$C:$C,Resume!$B37,'Realisasi Hilirisasi'!E:E)</f>
        <v>0</v>
      </c>
      <c r="D37" s="18">
        <f>'Per AP'!P13</f>
        <v>0</v>
      </c>
      <c r="E37" s="13">
        <f t="shared" si="3"/>
        <v>0</v>
      </c>
    </row>
    <row r="38" spans="2:5" ht="2.75" customHeight="1" x14ac:dyDescent="0.45"/>
    <row r="39" spans="2:5" ht="16.899999999999999" x14ac:dyDescent="0.5">
      <c r="B39" s="70" t="s">
        <v>23</v>
      </c>
      <c r="C39" s="73">
        <f>SUM(C34:C38)</f>
        <v>25402.838685639759</v>
      </c>
      <c r="D39" s="73">
        <f>SUM(D34:D38)</f>
        <v>36804</v>
      </c>
      <c r="E39" s="75">
        <f t="shared" si="3"/>
        <v>0.69021950564177148</v>
      </c>
    </row>
    <row r="42" spans="2:5" x14ac:dyDescent="0.45">
      <c r="C42">
        <f>344</f>
        <v>344</v>
      </c>
    </row>
    <row r="43" spans="2:5" x14ac:dyDescent="0.45">
      <c r="C43">
        <f>900</f>
        <v>900</v>
      </c>
    </row>
    <row r="44" spans="2:5" x14ac:dyDescent="0.45">
      <c r="C44">
        <f>C42+C43</f>
        <v>1244</v>
      </c>
    </row>
    <row r="45" spans="2:5" x14ac:dyDescent="0.45">
      <c r="C45" s="40">
        <f>C34-C44</f>
        <v>4184.2943937401787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1A12-0B5C-470E-B42D-F79D70C8EC3F}">
  <dimension ref="B4:R35"/>
  <sheetViews>
    <sheetView showGridLines="0" zoomScale="70" zoomScaleNormal="70" workbookViewId="0">
      <selection activeCell="P10" sqref="P10"/>
    </sheetView>
  </sheetViews>
  <sheetFormatPr defaultRowHeight="14.25" x14ac:dyDescent="0.45"/>
  <cols>
    <col min="3" max="14" width="9.06640625" customWidth="1"/>
    <col min="15" max="15" width="12.06640625" customWidth="1"/>
    <col min="16" max="16" width="11.53125" customWidth="1"/>
    <col min="18" max="18" width="9.53125" bestFit="1" customWidth="1"/>
    <col min="20" max="29" width="11.06640625" customWidth="1"/>
  </cols>
  <sheetData>
    <row r="4" spans="2:18" x14ac:dyDescent="0.45">
      <c r="P4" t="s">
        <v>88</v>
      </c>
    </row>
    <row r="6" spans="2:18" x14ac:dyDescent="0.45">
      <c r="C6">
        <v>1</v>
      </c>
      <c r="D6">
        <f>C6+1</f>
        <v>2</v>
      </c>
      <c r="E6">
        <f t="shared" ref="E6:N6" si="0">D6+1</f>
        <v>3</v>
      </c>
      <c r="F6">
        <f t="shared" si="0"/>
        <v>4</v>
      </c>
      <c r="G6">
        <f t="shared" si="0"/>
        <v>5</v>
      </c>
      <c r="H6">
        <f t="shared" si="0"/>
        <v>6</v>
      </c>
      <c r="I6">
        <f t="shared" si="0"/>
        <v>7</v>
      </c>
      <c r="J6">
        <f t="shared" si="0"/>
        <v>8</v>
      </c>
      <c r="K6">
        <f t="shared" si="0"/>
        <v>9</v>
      </c>
      <c r="L6">
        <f t="shared" si="0"/>
        <v>10</v>
      </c>
      <c r="M6">
        <f t="shared" si="0"/>
        <v>11</v>
      </c>
      <c r="N6">
        <f t="shared" si="0"/>
        <v>12</v>
      </c>
      <c r="P6" s="69">
        <v>1</v>
      </c>
    </row>
    <row r="7" spans="2:18" ht="15.75" x14ac:dyDescent="0.5">
      <c r="B7" s="36"/>
      <c r="C7" s="37" t="s">
        <v>24</v>
      </c>
      <c r="D7" s="37" t="s">
        <v>25</v>
      </c>
      <c r="E7" s="37" t="s">
        <v>26</v>
      </c>
      <c r="F7" s="37" t="s">
        <v>27</v>
      </c>
      <c r="G7" s="37" t="s">
        <v>28</v>
      </c>
      <c r="H7" s="37" t="s">
        <v>33</v>
      </c>
      <c r="I7" s="37" t="s">
        <v>44</v>
      </c>
      <c r="J7" s="37" t="s">
        <v>58</v>
      </c>
      <c r="K7" s="37" t="s">
        <v>45</v>
      </c>
      <c r="L7" s="37" t="s">
        <v>46</v>
      </c>
      <c r="M7" s="37" t="s">
        <v>47</v>
      </c>
      <c r="N7" s="37" t="s">
        <v>48</v>
      </c>
      <c r="O7" s="37" t="s">
        <v>85</v>
      </c>
      <c r="P7" s="37" t="s">
        <v>2</v>
      </c>
      <c r="Q7" s="37" t="s">
        <v>7</v>
      </c>
      <c r="R7" s="37" t="s">
        <v>61</v>
      </c>
    </row>
    <row r="8" spans="2:18" ht="5.65" customHeight="1" x14ac:dyDescent="0.45"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2:18" x14ac:dyDescent="0.45">
      <c r="B9" s="29" t="s">
        <v>17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2:18" x14ac:dyDescent="0.45">
      <c r="B10" t="s">
        <v>11</v>
      </c>
      <c r="C10" s="18">
        <f>'Realisasi Hilirisasi'!S28</f>
        <v>143.32434000000001</v>
      </c>
      <c r="D10" s="18">
        <f>'Realisasi Hilirisasi'!T28</f>
        <v>782.00073461184218</v>
      </c>
      <c r="E10" s="18">
        <f>'Realisasi Hilirisasi'!U28</f>
        <v>681.34312604440788</v>
      </c>
      <c r="F10" s="18">
        <f>'Realisasi Hilirisasi'!V28</f>
        <v>208.78669621875</v>
      </c>
      <c r="G10" s="18">
        <f>'Realisasi Hilirisasi'!W28</f>
        <v>592.86189842499994</v>
      </c>
      <c r="H10" s="18">
        <f>'Realisasi Hilirisasi'!X28</f>
        <v>-74.014672725000025</v>
      </c>
      <c r="I10" s="18">
        <f>'Realisasi Hilirisasi'!Y28</f>
        <v>406.85826914285701</v>
      </c>
      <c r="J10" s="18">
        <f>'Realisasi Hilirisasi'!Z28</f>
        <v>245.88915509374999</v>
      </c>
      <c r="K10" s="18">
        <f>'Realisasi Hilirisasi'!AA28</f>
        <v>531.90940000000001</v>
      </c>
      <c r="L10" s="18">
        <f>'Realisasi Hilirisasi'!AB28</f>
        <v>907.00824692857145</v>
      </c>
      <c r="M10" s="18">
        <f>'Realisasi Hilirisasi'!AC28</f>
        <v>750.88160000000005</v>
      </c>
      <c r="N10" s="18">
        <f>'Realisasi Hilirisasi'!AD28</f>
        <v>251.44560000000001</v>
      </c>
      <c r="O10" s="18">
        <f>SUM(C10:N10)</f>
        <v>5428.2943937401787</v>
      </c>
      <c r="P10" s="18">
        <f>'Target Hilirisasi 2025'!AJ9</f>
        <v>25000</v>
      </c>
      <c r="Q10" s="42">
        <f t="shared" ref="Q10:Q11" si="1">O10/P10</f>
        <v>0.21713177574960715</v>
      </c>
      <c r="R10" s="18">
        <f>O10-P10</f>
        <v>-19571.70560625982</v>
      </c>
    </row>
    <row r="11" spans="2:18" x14ac:dyDescent="0.45">
      <c r="B11" t="s">
        <v>14</v>
      </c>
      <c r="C11" s="18">
        <f>'Realisasi Hilirisasi'!S29</f>
        <v>64</v>
      </c>
      <c r="D11" s="18">
        <f>'Realisasi Hilirisasi'!T29</f>
        <v>1293</v>
      </c>
      <c r="E11" s="18">
        <f>'Realisasi Hilirisasi'!U29</f>
        <v>366</v>
      </c>
      <c r="F11" s="18">
        <f>'Realisasi Hilirisasi'!V29</f>
        <v>80.334000000000003</v>
      </c>
      <c r="G11" s="18">
        <f>'Realisasi Hilirisasi'!W29</f>
        <v>1638.8990000000001</v>
      </c>
      <c r="H11" s="18">
        <f>'Realisasi Hilirisasi'!X29</f>
        <v>864.274</v>
      </c>
      <c r="I11" s="18">
        <f>'Realisasi Hilirisasi'!Y29</f>
        <v>300</v>
      </c>
      <c r="J11" s="18">
        <f>'Realisasi Hilirisasi'!Z29</f>
        <v>1340.5329999999999</v>
      </c>
      <c r="K11" s="18">
        <f>'Realisasi Hilirisasi'!AA29</f>
        <v>98.74</v>
      </c>
      <c r="L11" s="18">
        <f>'Realisasi Hilirisasi'!AB29</f>
        <v>2524.779</v>
      </c>
      <c r="M11" s="18">
        <f>'Realisasi Hilirisasi'!AC29</f>
        <v>1560.36</v>
      </c>
      <c r="N11" s="18">
        <f>'Realisasi Hilirisasi'!AD29</f>
        <v>3953.0210000000002</v>
      </c>
      <c r="O11" s="18">
        <f t="shared" ref="O11:O13" si="2">SUM(C11:N11)</f>
        <v>14083.940000000002</v>
      </c>
      <c r="P11" s="18">
        <f>'Target Hilirisasi 2025'!AJ10</f>
        <v>6804</v>
      </c>
      <c r="Q11" s="42">
        <f t="shared" si="1"/>
        <v>2.0699500293944744</v>
      </c>
      <c r="R11" s="18">
        <f t="shared" ref="R11:R13" si="3">O11-P11</f>
        <v>7279.9400000000023</v>
      </c>
    </row>
    <row r="12" spans="2:18" x14ac:dyDescent="0.45">
      <c r="B12" t="s">
        <v>16</v>
      </c>
      <c r="C12" s="18">
        <f>'Realisasi Hilirisasi'!S30</f>
        <v>344.54044878878835</v>
      </c>
      <c r="D12" s="18">
        <f>'Realisasi Hilirisasi'!T30</f>
        <v>348.05116244011487</v>
      </c>
      <c r="E12" s="18">
        <f>'Realisasi Hilirisasi'!U30</f>
        <v>367.04059426004926</v>
      </c>
      <c r="F12" s="18">
        <f>'Realisasi Hilirisasi'!V30</f>
        <v>186.94335049999998</v>
      </c>
      <c r="G12" s="18">
        <f>'Realisasi Hilirisasi'!W30</f>
        <v>256.89910250000003</v>
      </c>
      <c r="H12" s="18">
        <f>'Realisasi Hilirisasi'!X30</f>
        <v>246.90428538022971</v>
      </c>
      <c r="I12" s="18">
        <f>'Realisasi Hilirisasi'!Y30</f>
        <v>435.08390148954049</v>
      </c>
      <c r="J12" s="18">
        <f>'Realisasi Hilirisasi'!Z30</f>
        <v>659.63899830024616</v>
      </c>
      <c r="K12" s="18">
        <f>'Realisasi Hilirisasi'!AA30</f>
        <v>637.20504449999999</v>
      </c>
      <c r="L12" s="18">
        <f>'Realisasi Hilirisasi'!AB30</f>
        <v>1083.0407552500001</v>
      </c>
      <c r="M12" s="18">
        <f>'Realisasi Hilirisasi'!AC30</f>
        <v>1037.4828014906072</v>
      </c>
      <c r="N12" s="18">
        <f>'Realisasi Hilirisasi'!AD30</f>
        <v>287.77384700000005</v>
      </c>
      <c r="O12" s="18">
        <f t="shared" si="2"/>
        <v>5890.6042918995772</v>
      </c>
      <c r="P12" s="18">
        <f>'Target Hilirisasi 2025'!AJ11</f>
        <v>5000</v>
      </c>
      <c r="Q12" s="42">
        <f>O12/P12</f>
        <v>1.1781208583799154</v>
      </c>
      <c r="R12" s="18">
        <f t="shared" si="3"/>
        <v>890.60429189957722</v>
      </c>
    </row>
    <row r="13" spans="2:18" hidden="1" x14ac:dyDescent="0.45">
      <c r="B13" t="s">
        <v>21</v>
      </c>
      <c r="C13" s="18">
        <f>'Realisasi Hilirisasi'!S31</f>
        <v>0</v>
      </c>
      <c r="D13" s="18">
        <f>'Realisasi Hilirisasi'!T31</f>
        <v>0</v>
      </c>
      <c r="E13" s="18">
        <f>'Realisasi Hilirisasi'!U31</f>
        <v>0</v>
      </c>
      <c r="F13" s="18">
        <f>'Realisasi Hilirisasi'!V31</f>
        <v>0</v>
      </c>
      <c r="G13" s="18">
        <f>'Realisasi Hilirisasi'!W31</f>
        <v>0</v>
      </c>
      <c r="H13" s="18">
        <f>'Realisasi Hilirisasi'!X31</f>
        <v>0</v>
      </c>
      <c r="I13" s="18">
        <f>'Realisasi Hilirisasi'!Y31</f>
        <v>0</v>
      </c>
      <c r="J13" s="18">
        <f>'Realisasi Hilirisasi'!Z31</f>
        <v>0</v>
      </c>
      <c r="K13" s="18">
        <f>'Realisasi Hilirisasi'!AA31</f>
        <v>0</v>
      </c>
      <c r="L13" s="18">
        <f>'Realisasi Hilirisasi'!AB31</f>
        <v>0</v>
      </c>
      <c r="M13" s="18">
        <f>'Realisasi Hilirisasi'!AC31</f>
        <v>0</v>
      </c>
      <c r="N13" s="18">
        <f>'Realisasi Hilirisasi'!AD31</f>
        <v>0</v>
      </c>
      <c r="O13" s="18">
        <f t="shared" si="2"/>
        <v>0</v>
      </c>
      <c r="P13" s="18">
        <f>'Target Hilirisasi 2025'!AJ12</f>
        <v>0</v>
      </c>
      <c r="Q13" s="42" t="e">
        <f t="shared" ref="Q13:Q14" si="4">O13/P13</f>
        <v>#DIV/0!</v>
      </c>
      <c r="R13" s="18">
        <f t="shared" si="3"/>
        <v>0</v>
      </c>
    </row>
    <row r="14" spans="2:18" x14ac:dyDescent="0.45">
      <c r="B14" s="31" t="s">
        <v>22</v>
      </c>
      <c r="C14" s="32">
        <f>SUM(C10:C13)</f>
        <v>551.86478878878836</v>
      </c>
      <c r="D14" s="32">
        <f t="shared" ref="D14:N14" si="5">SUM(D10:D13)</f>
        <v>2423.051897051957</v>
      </c>
      <c r="E14" s="32">
        <f t="shared" si="5"/>
        <v>1414.3837203044573</v>
      </c>
      <c r="F14" s="32">
        <f t="shared" si="5"/>
        <v>476.06404671874998</v>
      </c>
      <c r="G14" s="32">
        <f t="shared" si="5"/>
        <v>2488.6600009250001</v>
      </c>
      <c r="H14" s="32">
        <f t="shared" si="5"/>
        <v>1037.1636126552298</v>
      </c>
      <c r="I14" s="32">
        <f t="shared" si="5"/>
        <v>1141.9421706323974</v>
      </c>
      <c r="J14" s="32">
        <f t="shared" si="5"/>
        <v>2246.0611533939964</v>
      </c>
      <c r="K14" s="32">
        <f t="shared" si="5"/>
        <v>1267.8544445</v>
      </c>
      <c r="L14" s="32">
        <f t="shared" si="5"/>
        <v>4514.8280021785713</v>
      </c>
      <c r="M14" s="32">
        <f t="shared" si="5"/>
        <v>3348.7244014906073</v>
      </c>
      <c r="N14" s="32">
        <f t="shared" si="5"/>
        <v>4492.2404470000001</v>
      </c>
      <c r="O14" s="32">
        <f t="shared" ref="O14:R14" si="6">SUM(O10:O13)</f>
        <v>25402.838685639759</v>
      </c>
      <c r="P14" s="32">
        <f>SUM(P10:P13)</f>
        <v>36804</v>
      </c>
      <c r="Q14" s="51">
        <f t="shared" si="4"/>
        <v>0.69021950564177148</v>
      </c>
      <c r="R14" s="32">
        <f t="shared" si="6"/>
        <v>-11401.161314360241</v>
      </c>
    </row>
    <row r="15" spans="2:18" x14ac:dyDescent="0.45"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42"/>
      <c r="R15" s="34"/>
    </row>
    <row r="16" spans="2:18" x14ac:dyDescent="0.45">
      <c r="B16" s="29" t="s">
        <v>29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18"/>
      <c r="Q16" s="42"/>
      <c r="R16" s="34"/>
    </row>
    <row r="17" spans="2:18" x14ac:dyDescent="0.45">
      <c r="B17" t="s">
        <v>11</v>
      </c>
      <c r="C17" s="18">
        <f>SUMIFS('Realisasi Hilirisasi'!$F:$F,'Realisasi Hilirisasi'!$C:$C,'Per AP'!$B17,'Realisasi Hilirisasi'!$B:$B,'Per AP'!C$6)/1000000</f>
        <v>3321.6862344800002</v>
      </c>
      <c r="D17" s="18">
        <f>SUMIFS('Realisasi Hilirisasi'!$F:$F,'Realisasi Hilirisasi'!$C:$C,'Per AP'!$B17,'Realisasi Hilirisasi'!$B:$B,'Per AP'!D$6)/1000000</f>
        <v>15508.642399799999</v>
      </c>
      <c r="E17" s="18">
        <f>SUMIFS('Realisasi Hilirisasi'!$F:$F,'Realisasi Hilirisasi'!$C:$C,'Per AP'!$B17,'Realisasi Hilirisasi'!$B:$B,'Per AP'!E$6)/1000000</f>
        <v>6813.0539307999998</v>
      </c>
      <c r="F17" s="18">
        <f>SUMIFS('Realisasi Hilirisasi'!$F:$F,'Realisasi Hilirisasi'!$C:$C,'Per AP'!$B17,'Realisasi Hilirisasi'!$B:$B,'Per AP'!F$6)/1000000</f>
        <v>6293.6975789999997</v>
      </c>
      <c r="G17" s="18">
        <f>SUMIFS('Realisasi Hilirisasi'!$F:$F,'Realisasi Hilirisasi'!$C:$C,'Per AP'!$B17,'Realisasi Hilirisasi'!$B:$B,'Per AP'!G$6)/1000000</f>
        <v>12374.350373849999</v>
      </c>
      <c r="H17" s="18">
        <f>SUMIFS('Realisasi Hilirisasi'!$F:$F,'Realisasi Hilirisasi'!$C:$C,'Per AP'!$B17,'Realisasi Hilirisasi'!$B:$B,'Per AP'!H$6)/1000000</f>
        <v>-2245.0900762999991</v>
      </c>
      <c r="I17" s="18">
        <f>SUMIFS('Realisasi Hilirisasi'!$F:$F,'Realisasi Hilirisasi'!$C:$C,'Per AP'!$B17,'Realisasi Hilirisasi'!$B:$B,'Per AP'!I$6)/1000000</f>
        <v>7393.4318767012983</v>
      </c>
      <c r="J17" s="18">
        <f>SUMIFS('Realisasi Hilirisasi'!$F:$F,'Realisasi Hilirisasi'!$C:$C,'Per AP'!$B17,'Realisasi Hilirisasi'!$B:$B,'Per AP'!J$6)/1000000</f>
        <v>5259.7025112793999</v>
      </c>
      <c r="K17" s="18">
        <f>SUMIFS('Realisasi Hilirisasi'!$F:$F,'Realisasi Hilirisasi'!$C:$C,'Per AP'!$B17,'Realisasi Hilirisasi'!$B:$B,'Per AP'!K$6)/1000000</f>
        <v>9368.4683569999997</v>
      </c>
      <c r="L17" s="18">
        <f>SUMIFS('Realisasi Hilirisasi'!$F:$F,'Realisasi Hilirisasi'!$C:$C,'Per AP'!$B17,'Realisasi Hilirisasi'!$B:$B,'Per AP'!L$6)/1000000</f>
        <v>17751.046266729998</v>
      </c>
      <c r="M17" s="18">
        <f>SUMIFS('Realisasi Hilirisasi'!$F:$F,'Realisasi Hilirisasi'!$C:$C,'Per AP'!$B17,'Realisasi Hilirisasi'!$B:$B,'Per AP'!M$6)/1000000</f>
        <v>17707.300936515043</v>
      </c>
      <c r="N17" s="18">
        <f>SUMIFS('Realisasi Hilirisasi'!$F:$F,'Realisasi Hilirisasi'!$C:$C,'Per AP'!$B17,'Realisasi Hilirisasi'!$B:$B,'Per AP'!N$6)/1000000</f>
        <v>7320.83475</v>
      </c>
      <c r="O17" s="18">
        <f t="shared" ref="O17:O20" si="7">SUM(C17:N17)</f>
        <v>106867.12513985574</v>
      </c>
      <c r="P17" s="18">
        <f>P10*18000*1000/1000000</f>
        <v>450000</v>
      </c>
      <c r="Q17" s="42">
        <f t="shared" ref="Q17:Q21" si="8">O17/P17</f>
        <v>0.23748250031079052</v>
      </c>
      <c r="R17" s="34"/>
    </row>
    <row r="18" spans="2:18" x14ac:dyDescent="0.45">
      <c r="B18" t="s">
        <v>14</v>
      </c>
      <c r="C18" s="18">
        <f>SUMIFS('Realisasi Hilirisasi'!$F:$F,'Realisasi Hilirisasi'!$C:$C,'Per AP'!$B18,'Realisasi Hilirisasi'!$B:$B,'Per AP'!C$6)/1000000</f>
        <v>979.03913499999999</v>
      </c>
      <c r="D18" s="18">
        <f>SUMIFS('Realisasi Hilirisasi'!$F:$F,'Realisasi Hilirisasi'!$C:$C,'Per AP'!$B18,'Realisasi Hilirisasi'!$B:$B,'Per AP'!D$6)/1000000</f>
        <v>25344.147546</v>
      </c>
      <c r="E18" s="18">
        <f>SUMIFS('Realisasi Hilirisasi'!$F:$F,'Realisasi Hilirisasi'!$C:$C,'Per AP'!$B18,'Realisasi Hilirisasi'!$B:$B,'Per AP'!E$6)/1000000</f>
        <v>6906.9412436363627</v>
      </c>
      <c r="F18" s="18">
        <f>SUMIFS('Realisasi Hilirisasi'!$F:$F,'Realisasi Hilirisasi'!$C:$C,'Per AP'!$B18,'Realisasi Hilirisasi'!$B:$B,'Per AP'!F$6)/1000000</f>
        <v>1414.1511809090907</v>
      </c>
      <c r="G18" s="18">
        <f>SUMIFS('Realisasi Hilirisasi'!$F:$F,'Realisasi Hilirisasi'!$C:$C,'Per AP'!$B18,'Realisasi Hilirisasi'!$B:$B,'Per AP'!G$6)/1000000</f>
        <v>21385.99132481818</v>
      </c>
      <c r="H18" s="18">
        <f>SUMIFS('Realisasi Hilirisasi'!$F:$F,'Realisasi Hilirisasi'!$C:$C,'Per AP'!$B18,'Realisasi Hilirisasi'!$B:$B,'Per AP'!H$6)/1000000</f>
        <v>11835.534700545453</v>
      </c>
      <c r="I18" s="18">
        <f>SUMIFS('Realisasi Hilirisasi'!$F:$F,'Realisasi Hilirisasi'!$C:$C,'Per AP'!$B18,'Realisasi Hilirisasi'!$B:$B,'Per AP'!I$6)/1000000</f>
        <v>5372.8114919541731</v>
      </c>
      <c r="J18" s="18">
        <f>SUMIFS('Realisasi Hilirisasi'!$F:$F,'Realisasi Hilirisasi'!$C:$C,'Per AP'!$B18,'Realisasi Hilirisasi'!$B:$B,'Per AP'!J$6)/1000000</f>
        <v>16421.458071000001</v>
      </c>
      <c r="K18" s="18">
        <f>SUMIFS('Realisasi Hilirisasi'!$F:$F,'Realisasi Hilirisasi'!$C:$C,'Per AP'!$B18,'Realisasi Hilirisasi'!$B:$B,'Per AP'!K$6)/1000000</f>
        <v>1711.6039699999999</v>
      </c>
      <c r="L18" s="18">
        <f>SUMIFS('Realisasi Hilirisasi'!$F:$F,'Realisasi Hilirisasi'!$C:$C,'Per AP'!$B18,'Realisasi Hilirisasi'!$B:$B,'Per AP'!L$6)/1000000</f>
        <v>26736.649401999999</v>
      </c>
      <c r="M18" s="18">
        <f>SUMIFS('Realisasi Hilirisasi'!$F:$F,'Realisasi Hilirisasi'!$C:$C,'Per AP'!$B18,'Realisasi Hilirisasi'!$B:$B,'Per AP'!M$6)/1000000</f>
        <v>19278.357569</v>
      </c>
      <c r="N18" s="18">
        <f>SUMIFS('Realisasi Hilirisasi'!$F:$F,'Realisasi Hilirisasi'!$C:$C,'Per AP'!$B18,'Realisasi Hilirisasi'!$B:$B,'Per AP'!N$6)/1000000</f>
        <v>44833.447723999998</v>
      </c>
      <c r="O18" s="18">
        <f t="shared" si="7"/>
        <v>182220.13335886324</v>
      </c>
      <c r="P18" s="18">
        <f>P11*15000*1000/1000000</f>
        <v>102060</v>
      </c>
      <c r="Q18" s="42">
        <f t="shared" si="8"/>
        <v>1.7854216476471021</v>
      </c>
      <c r="R18" s="34"/>
    </row>
    <row r="19" spans="2:18" x14ac:dyDescent="0.45">
      <c r="B19" t="s">
        <v>16</v>
      </c>
      <c r="C19" s="18">
        <f>SUMIFS('Realisasi Hilirisasi'!$F:$F,'Realisasi Hilirisasi'!$C:$C,'Per AP'!$B19,'Realisasi Hilirisasi'!$B:$B,'Per AP'!C$6)/1000000</f>
        <v>5478.4214671600002</v>
      </c>
      <c r="D19" s="18">
        <f>SUMIFS('Realisasi Hilirisasi'!$F:$F,'Realisasi Hilirisasi'!$C:$C,'Per AP'!$B19,'Realisasi Hilirisasi'!$B:$B,'Per AP'!D$6)/1000000</f>
        <v>5643.7764886862587</v>
      </c>
      <c r="E19" s="18">
        <f>SUMIFS('Realisasi Hilirisasi'!$F:$F,'Realisasi Hilirisasi'!$C:$C,'Per AP'!$B19,'Realisasi Hilirisasi'!$B:$B,'Per AP'!E$6)/1000000</f>
        <v>6029.2026484891776</v>
      </c>
      <c r="F19" s="18">
        <f>SUMIFS('Realisasi Hilirisasi'!$F:$F,'Realisasi Hilirisasi'!$C:$C,'Per AP'!$B19,'Realisasi Hilirisasi'!$B:$B,'Per AP'!F$6)/1000000</f>
        <v>3162.5704641261696</v>
      </c>
      <c r="G19" s="18">
        <f>SUMIFS('Realisasi Hilirisasi'!$F:$F,'Realisasi Hilirisasi'!$C:$C,'Per AP'!$B19,'Realisasi Hilirisasi'!$B:$B,'Per AP'!G$6)/1000000</f>
        <v>4249.1731733239603</v>
      </c>
      <c r="H19" s="18">
        <f>SUMIFS('Realisasi Hilirisasi'!$F:$F,'Realisasi Hilirisasi'!$C:$C,'Per AP'!$B19,'Realisasi Hilirisasi'!$B:$B,'Per AP'!H$6)/1000000</f>
        <v>4106.6497981878483</v>
      </c>
      <c r="I19" s="18">
        <f>SUMIFS('Realisasi Hilirisasi'!$F:$F,'Realisasi Hilirisasi'!$C:$C,'Per AP'!$B19,'Realisasi Hilirisasi'!$B:$B,'Per AP'!I$6)/1000000</f>
        <v>6973.6682937659925</v>
      </c>
      <c r="J19" s="18">
        <f>SUMIFS('Realisasi Hilirisasi'!$F:$F,'Realisasi Hilirisasi'!$C:$C,'Per AP'!$B19,'Realisasi Hilirisasi'!$B:$B,'Per AP'!J$6)/1000000</f>
        <v>10178.363586155307</v>
      </c>
      <c r="K19" s="18">
        <f>SUMIFS('Realisasi Hilirisasi'!$F:$F,'Realisasi Hilirisasi'!$C:$C,'Per AP'!$B19,'Realisasi Hilirisasi'!$B:$B,'Per AP'!K$6)/1000000</f>
        <v>9164.3539180876433</v>
      </c>
      <c r="L19" s="18">
        <f>SUMIFS('Realisasi Hilirisasi'!$F:$F,'Realisasi Hilirisasi'!$C:$C,'Per AP'!$B19,'Realisasi Hilirisasi'!$B:$B,'Per AP'!L$6)/1000000</f>
        <v>13767.85379119304</v>
      </c>
      <c r="M19" s="18">
        <f>SUMIFS('Realisasi Hilirisasi'!$F:$F,'Realisasi Hilirisasi'!$C:$C,'Per AP'!$B19,'Realisasi Hilirisasi'!$B:$B,'Per AP'!M$6)/1000000</f>
        <v>14494.388102457313</v>
      </c>
      <c r="N19" s="18">
        <f>SUMIFS('Realisasi Hilirisasi'!$F:$F,'Realisasi Hilirisasi'!$C:$C,'Per AP'!$B19,'Realisasi Hilirisasi'!$B:$B,'Per AP'!N$6)/1000000</f>
        <v>4858.2583563044018</v>
      </c>
      <c r="O19" s="18">
        <f t="shared" si="7"/>
        <v>88106.6800879371</v>
      </c>
      <c r="P19" s="18">
        <f>P12*15000*1000/1000000</f>
        <v>75000</v>
      </c>
      <c r="Q19" s="42">
        <f t="shared" si="8"/>
        <v>1.1747557345058279</v>
      </c>
      <c r="R19" s="34"/>
    </row>
    <row r="20" spans="2:18" hidden="1" x14ac:dyDescent="0.45">
      <c r="B20" t="s">
        <v>21</v>
      </c>
      <c r="C20" s="18">
        <f>SUMIFS('Realisasi Hilirisasi'!$F:$F,'Realisasi Hilirisasi'!$C:$C,'Per AP'!$B20,'Realisasi Hilirisasi'!$B:$B,'Per AP'!C$6)/1000000</f>
        <v>0</v>
      </c>
      <c r="D20" s="18">
        <f>SUMIFS('Realisasi Hilirisasi'!$F:$F,'Realisasi Hilirisasi'!$C:$C,'Per AP'!$B20,'Realisasi Hilirisasi'!$B:$B,'Per AP'!D$6)/1000000</f>
        <v>0</v>
      </c>
      <c r="E20" s="18">
        <f>SUMIFS('Realisasi Hilirisasi'!$F:$F,'Realisasi Hilirisasi'!$C:$C,'Per AP'!$B20,'Realisasi Hilirisasi'!$B:$B,'Per AP'!E$6)/1000000</f>
        <v>0</v>
      </c>
      <c r="F20" s="18">
        <f>SUMIFS('Realisasi Hilirisasi'!$F:$F,'Realisasi Hilirisasi'!$C:$C,'Per AP'!$B20,'Realisasi Hilirisasi'!$B:$B,'Per AP'!F$6)/1000000</f>
        <v>0</v>
      </c>
      <c r="G20" s="18">
        <f>SUMIFS('Realisasi Hilirisasi'!$F:$F,'Realisasi Hilirisasi'!$C:$C,'Per AP'!$B20,'Realisasi Hilirisasi'!$B:$B,'Per AP'!G$6)/1000000</f>
        <v>0</v>
      </c>
      <c r="H20" s="18">
        <f>SUMIFS('Realisasi Hilirisasi'!$F:$F,'Realisasi Hilirisasi'!$C:$C,'Per AP'!$B20,'Realisasi Hilirisasi'!$B:$B,'Per AP'!H$6)/1000000</f>
        <v>0</v>
      </c>
      <c r="I20" s="18">
        <f>SUMIFS('Realisasi Hilirisasi'!$F:$F,'Realisasi Hilirisasi'!$C:$C,'Per AP'!$B20,'Realisasi Hilirisasi'!$B:$B,'Per AP'!I$6)/1000000</f>
        <v>0</v>
      </c>
      <c r="J20" s="18">
        <f>SUMIFS('Realisasi Hilirisasi'!$F:$F,'Realisasi Hilirisasi'!$C:$C,'Per AP'!$B20,'Realisasi Hilirisasi'!$B:$B,'Per AP'!J$6)/1000000</f>
        <v>0</v>
      </c>
      <c r="K20" s="18">
        <f>SUMIFS('Realisasi Hilirisasi'!$F:$F,'Realisasi Hilirisasi'!$C:$C,'Per AP'!$B20,'Realisasi Hilirisasi'!$B:$B,'Per AP'!K$6)/1000000</f>
        <v>0</v>
      </c>
      <c r="L20" s="18">
        <f>SUMIFS('Realisasi Hilirisasi'!$F:$F,'Realisasi Hilirisasi'!$C:$C,'Per AP'!$B20,'Realisasi Hilirisasi'!$B:$B,'Per AP'!L$6)/1000000</f>
        <v>0</v>
      </c>
      <c r="M20" s="18">
        <f>SUMIFS('Realisasi Hilirisasi'!$F:$F,'Realisasi Hilirisasi'!$C:$C,'Per AP'!$B20,'Realisasi Hilirisasi'!$B:$B,'Per AP'!M$6)/1000000</f>
        <v>0</v>
      </c>
      <c r="N20" s="18">
        <f>SUMIFS('Realisasi Hilirisasi'!$F:$F,'Realisasi Hilirisasi'!$C:$C,'Per AP'!$B20,'Realisasi Hilirisasi'!$B:$B,'Per AP'!N$6)/1000000</f>
        <v>0</v>
      </c>
      <c r="O20" s="18">
        <f t="shared" si="7"/>
        <v>0</v>
      </c>
      <c r="P20" s="18">
        <f>P13*18500000/1000000</f>
        <v>0</v>
      </c>
      <c r="Q20" s="42" t="e">
        <f t="shared" si="8"/>
        <v>#DIV/0!</v>
      </c>
      <c r="R20" s="34"/>
    </row>
    <row r="21" spans="2:18" x14ac:dyDescent="0.45">
      <c r="B21" s="31" t="s">
        <v>22</v>
      </c>
      <c r="C21" s="32">
        <f>SUM(C17:C20)</f>
        <v>9779.1468366400004</v>
      </c>
      <c r="D21" s="32">
        <f t="shared" ref="D21:N21" si="9">SUM(D17:D20)</f>
        <v>46496.56643448626</v>
      </c>
      <c r="E21" s="32">
        <f t="shared" si="9"/>
        <v>19749.19782292554</v>
      </c>
      <c r="F21" s="32">
        <f t="shared" si="9"/>
        <v>10870.41922403526</v>
      </c>
      <c r="G21" s="32">
        <f t="shared" si="9"/>
        <v>38009.514871992134</v>
      </c>
      <c r="H21" s="32">
        <f t="shared" si="9"/>
        <v>13697.094422433303</v>
      </c>
      <c r="I21" s="32">
        <f t="shared" si="9"/>
        <v>19739.911662421466</v>
      </c>
      <c r="J21" s="32">
        <f t="shared" si="9"/>
        <v>31859.524168434706</v>
      </c>
      <c r="K21" s="32">
        <f t="shared" si="9"/>
        <v>20244.426245087641</v>
      </c>
      <c r="L21" s="32">
        <f t="shared" si="9"/>
        <v>58255.549459923037</v>
      </c>
      <c r="M21" s="32">
        <f t="shared" si="9"/>
        <v>51480.046607972356</v>
      </c>
      <c r="N21" s="32">
        <f t="shared" si="9"/>
        <v>57012.540830304402</v>
      </c>
      <c r="O21" s="32">
        <f>SUM(O17:O20)</f>
        <v>377193.93858665606</v>
      </c>
      <c r="P21" s="32">
        <f t="shared" ref="P21" si="10">SUM(P17:P20)</f>
        <v>627060</v>
      </c>
      <c r="Q21" s="51">
        <f t="shared" si="8"/>
        <v>0.60152766654970191</v>
      </c>
      <c r="R21" s="50"/>
    </row>
    <row r="22" spans="2:18" x14ac:dyDescent="0.45"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42"/>
      <c r="R22" s="34"/>
    </row>
    <row r="23" spans="2:18" x14ac:dyDescent="0.45">
      <c r="B23" s="29" t="s">
        <v>30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18"/>
      <c r="Q23" s="42"/>
      <c r="R23" s="34"/>
    </row>
    <row r="24" spans="2:18" x14ac:dyDescent="0.45">
      <c r="B24" t="s">
        <v>11</v>
      </c>
      <c r="C24" s="18">
        <f>SUMIFS('Realisasi Hilirisasi'!$G:$G,'Realisasi Hilirisasi'!$C:$C,'Per AP'!$B24,'Realisasi Hilirisasi'!$B:$B,'Per AP'!C$6)/1000000</f>
        <v>263.19288</v>
      </c>
      <c r="D24" s="18">
        <f>SUMIFS('Realisasi Hilirisasi'!$G:$G,'Realisasi Hilirisasi'!$C:$C,'Per AP'!$B24,'Realisasi Hilirisasi'!$B:$B,'Per AP'!D$6)/1000000</f>
        <v>974.19603461184215</v>
      </c>
      <c r="E24" s="18">
        <f>SUMIFS('Realisasi Hilirisasi'!$G:$G,'Realisasi Hilirisasi'!$C:$C,'Per AP'!$B24,'Realisasi Hilirisasi'!$B:$B,'Per AP'!E$6)/1000000</f>
        <v>668.34521079000001</v>
      </c>
      <c r="F24" s="18">
        <f>SUMIFS('Realisasi Hilirisasi'!$G:$G,'Realisasi Hilirisasi'!$C:$C,'Per AP'!$B24,'Realisasi Hilirisasi'!$B:$B,'Per AP'!F$6)/1000000</f>
        <v>530.48555831999965</v>
      </c>
      <c r="G24" s="18">
        <f>SUMIFS('Realisasi Hilirisasi'!$G:$G,'Realisasi Hilirisasi'!$C:$C,'Per AP'!$B24,'Realisasi Hilirisasi'!$B:$B,'Per AP'!G$6)/1000000</f>
        <v>673.12158669250039</v>
      </c>
      <c r="H24" s="18">
        <f>SUMIFS('Realisasi Hilirisasi'!$G:$G,'Realisasi Hilirisasi'!$C:$C,'Per AP'!$B24,'Realisasi Hilirisasi'!$B:$B,'Per AP'!H$6)/1000000</f>
        <v>-27.403243235000581</v>
      </c>
      <c r="I24" s="18">
        <f>SUMIFS('Realisasi Hilirisasi'!$G:$G,'Realisasi Hilirisasi'!$C:$C,'Per AP'!$B24,'Realisasi Hilirisasi'!$B:$B,'Per AP'!I$6)/1000000</f>
        <v>-270.97949529869913</v>
      </c>
      <c r="J24" s="18">
        <f>SUMIFS('Realisasi Hilirisasi'!$G:$G,'Realisasi Hilirisasi'!$C:$C,'Per AP'!$B24,'Realisasi Hilirisasi'!$B:$B,'Per AP'!J$6)/1000000</f>
        <v>-595.86814408060002</v>
      </c>
      <c r="K24" s="18">
        <f>SUMIFS('Realisasi Hilirisasi'!$G:$G,'Realisasi Hilirisasi'!$C:$C,'Per AP'!$B24,'Realisasi Hilirisasi'!$B:$B,'Per AP'!K$6)/1000000</f>
        <v>755.10416193000003</v>
      </c>
      <c r="L24" s="18">
        <f>SUMIFS('Realisasi Hilirisasi'!$G:$G,'Realisasi Hilirisasi'!$C:$C,'Per AP'!$B24,'Realisasi Hilirisasi'!$B:$B,'Per AP'!L$6)/1000000</f>
        <v>-1183.9642728610004</v>
      </c>
      <c r="M24" s="18">
        <f>SUMIFS('Realisasi Hilirisasi'!$G:$G,'Realisasi Hilirisasi'!$C:$C,'Per AP'!$B24,'Realisasi Hilirisasi'!$B:$B,'Per AP'!M$6)/1000000</f>
        <v>984.20209087575199</v>
      </c>
      <c r="N24" s="18">
        <f>SUMIFS('Realisasi Hilirisasi'!$G:$G,'Realisasi Hilirisasi'!$C:$C,'Per AP'!$B24,'Realisasi Hilirisasi'!$B:$B,'Per AP'!N$6)/1000000</f>
        <v>468.83878049999998</v>
      </c>
      <c r="O24" s="18">
        <f t="shared" ref="O24:O27" si="11">SUM(C24:N24)</f>
        <v>3239.2711482447939</v>
      </c>
      <c r="P24" s="18">
        <f>P17*5%</f>
        <v>22500</v>
      </c>
      <c r="Q24" s="42">
        <f t="shared" ref="Q24:Q28" si="12">O24/P24</f>
        <v>0.14396760658865751</v>
      </c>
      <c r="R24" s="34"/>
    </row>
    <row r="25" spans="2:18" x14ac:dyDescent="0.45">
      <c r="B25" t="s">
        <v>14</v>
      </c>
      <c r="C25" s="18">
        <f>SUMIFS('Realisasi Hilirisasi'!$G:$G,'Realisasi Hilirisasi'!$C:$C,'Per AP'!$B25,'Realisasi Hilirisasi'!$B:$B,'Per AP'!C$6)/1000000</f>
        <v>15.8613</v>
      </c>
      <c r="D25" s="18">
        <f>SUMIFS('Realisasi Hilirisasi'!$G:$G,'Realisasi Hilirisasi'!$C:$C,'Per AP'!$B25,'Realisasi Hilirisasi'!$B:$B,'Per AP'!D$6)/1000000</f>
        <v>5685.1531699999996</v>
      </c>
      <c r="E25" s="18">
        <f>SUMIFS('Realisasi Hilirisasi'!$G:$G,'Realisasi Hilirisasi'!$C:$C,'Per AP'!$B25,'Realisasi Hilirisasi'!$B:$B,'Per AP'!E$6)/1000000</f>
        <v>91.035893999999999</v>
      </c>
      <c r="F25" s="18">
        <f>SUMIFS('Realisasi Hilirisasi'!$G:$G,'Realisasi Hilirisasi'!$C:$C,'Per AP'!$B25,'Realisasi Hilirisasi'!$B:$B,'Per AP'!F$6)/1000000</f>
        <v>20.003166</v>
      </c>
      <c r="G25" s="18">
        <f>SUMIFS('Realisasi Hilirisasi'!$G:$G,'Realisasi Hilirisasi'!$C:$C,'Per AP'!$B25,'Realisasi Hilirisasi'!$B:$B,'Per AP'!G$6)/1000000</f>
        <v>2630.441742</v>
      </c>
      <c r="H25" s="18">
        <f>SUMIFS('Realisasi Hilirisasi'!$G:$G,'Realisasi Hilirisasi'!$C:$C,'Per AP'!$B25,'Realisasi Hilirisasi'!$B:$B,'Per AP'!H$6)/1000000</f>
        <v>290.920458</v>
      </c>
      <c r="I25" s="18">
        <f>SUMIFS('Realisasi Hilirisasi'!$G:$G,'Realisasi Hilirisasi'!$C:$C,'Per AP'!$B25,'Realisasi Hilirisasi'!$B:$B,'Per AP'!I$6)/1000000</f>
        <v>74.7</v>
      </c>
      <c r="J25" s="18">
        <f>SUMIFS('Realisasi Hilirisasi'!$G:$G,'Realisasi Hilirisasi'!$C:$C,'Per AP'!$B25,'Realisasi Hilirisasi'!$B:$B,'Per AP'!J$6)/1000000</f>
        <v>1290.1711539999999</v>
      </c>
      <c r="K25" s="18">
        <f>SUMIFS('Realisasi Hilirisasi'!$G:$G,'Realisasi Hilirisasi'!$C:$C,'Per AP'!$B25,'Realisasi Hilirisasi'!$B:$B,'Per AP'!K$6)/1000000</f>
        <v>24.586259999999999</v>
      </c>
      <c r="L25" s="18">
        <f>SUMIFS('Realisasi Hilirisasi'!$G:$G,'Realisasi Hilirisasi'!$C:$C,'Per AP'!$B25,'Realisasi Hilirisasi'!$B:$B,'Per AP'!L$6)/1000000</f>
        <v>2184.242569</v>
      </c>
      <c r="M25" s="18">
        <f>SUMIFS('Realisasi Hilirisasi'!$G:$G,'Realisasi Hilirisasi'!$C:$C,'Per AP'!$B25,'Realisasi Hilirisasi'!$B:$B,'Per AP'!M$6)/1000000</f>
        <v>548.42361000000005</v>
      </c>
      <c r="N25" s="18">
        <f>SUMIFS('Realisasi Hilirisasi'!$G:$G,'Realisasi Hilirisasi'!$C:$C,'Per AP'!$B25,'Realisasi Hilirisasi'!$B:$B,'Per AP'!N$6)/1000000</f>
        <v>3333.8569860000334</v>
      </c>
      <c r="O25" s="18">
        <f t="shared" si="11"/>
        <v>16189.396309000034</v>
      </c>
      <c r="P25" s="18">
        <f>P18*5%</f>
        <v>5103</v>
      </c>
      <c r="Q25" s="42">
        <f t="shared" si="12"/>
        <v>3.172525241818545</v>
      </c>
      <c r="R25" s="34"/>
    </row>
    <row r="26" spans="2:18" x14ac:dyDescent="0.45">
      <c r="B26" t="s">
        <v>16</v>
      </c>
      <c r="C26" s="18">
        <f>SUMIFS('Realisasi Hilirisasi'!$G:$G,'Realisasi Hilirisasi'!$C:$C,'Per AP'!$B26,'Realisasi Hilirisasi'!$B:$B,'Per AP'!C$6)/1000000</f>
        <v>118.66562074255002</v>
      </c>
      <c r="D26" s="18">
        <f>SUMIFS('Realisasi Hilirisasi'!$G:$G,'Realisasi Hilirisasi'!$C:$C,'Per AP'!$B26,'Realisasi Hilirisasi'!$B:$B,'Per AP'!D$6)/1000000</f>
        <v>254.41068397565863</v>
      </c>
      <c r="E26" s="18">
        <f>SUMIFS('Realisasi Hilirisasi'!$G:$G,'Realisasi Hilirisasi'!$C:$C,'Per AP'!$B26,'Realisasi Hilirisasi'!$B:$B,'Per AP'!E$6)/1000000</f>
        <v>237.49319233727806</v>
      </c>
      <c r="F26" s="18">
        <f>SUMIFS('Realisasi Hilirisasi'!$G:$G,'Realisasi Hilirisasi'!$C:$C,'Per AP'!$B26,'Realisasi Hilirisasi'!$B:$B,'Per AP'!F$6)/1000000</f>
        <v>43.065182248169656</v>
      </c>
      <c r="G26" s="18">
        <f>SUMIFS('Realisasi Hilirisasi'!$G:$G,'Realisasi Hilirisasi'!$C:$C,'Per AP'!$B26,'Realisasi Hilirisasi'!$B:$B,'Per AP'!G$6)/1000000</f>
        <v>62.79566265995954</v>
      </c>
      <c r="H26" s="18">
        <f>SUMIFS('Realisasi Hilirisasi'!$G:$G,'Realisasi Hilirisasi'!$C:$C,'Per AP'!$B26,'Realisasi Hilirisasi'!$B:$B,'Per AP'!H$6)/1000000</f>
        <v>60.689405884549075</v>
      </c>
      <c r="I26" s="18">
        <f>SUMIFS('Realisasi Hilirisasi'!$G:$G,'Realisasi Hilirisasi'!$C:$C,'Per AP'!$B26,'Realisasi Hilirisasi'!$B:$B,'Per AP'!I$6)/1000000</f>
        <v>122.29356323299437</v>
      </c>
      <c r="J26" s="18">
        <f>SUMIFS('Realisasi Hilirisasi'!$G:$G,'Realisasi Hilirisasi'!$C:$C,'Per AP'!$B26,'Realisasi Hilirisasi'!$B:$B,'Per AP'!J$6)/1000000</f>
        <v>9973.9997858270017</v>
      </c>
      <c r="K26" s="18">
        <f>SUMIFS('Realisasi Hilirisasi'!$G:$G,'Realisasi Hilirisasi'!$C:$C,'Per AP'!$B26,'Realisasi Hilirisasi'!$B:$B,'Per AP'!K$6)/1000000</f>
        <v>252.57571873824054</v>
      </c>
      <c r="L26" s="18">
        <f>SUMIFS('Realisasi Hilirisasi'!$G:$G,'Realisasi Hilirisasi'!$C:$C,'Per AP'!$B26,'Realisasi Hilirisasi'!$B:$B,'Per AP'!L$6)/1000000</f>
        <v>1088.9315311207513</v>
      </c>
      <c r="M26" s="18">
        <f>SUMIFS('Realisasi Hilirisasi'!$G:$G,'Realisasi Hilirisasi'!$C:$C,'Per AP'!$B26,'Realisasi Hilirisasi'!$B:$B,'Per AP'!M$6)/1000000</f>
        <v>1585.2290499564131</v>
      </c>
      <c r="N26" s="18">
        <f>SUMIFS('Realisasi Hilirisasi'!$G:$G,'Realisasi Hilirisasi'!$C:$C,'Per AP'!$B26,'Realisasi Hilirisasi'!$B:$B,'Per AP'!N$6)/1000000</f>
        <v>81.854832851788785</v>
      </c>
      <c r="O26" s="18">
        <f t="shared" si="11"/>
        <v>13882.004229575356</v>
      </c>
      <c r="P26" s="18">
        <f>P19*3%</f>
        <v>2250</v>
      </c>
      <c r="Q26" s="42">
        <f t="shared" si="12"/>
        <v>6.1697796575890473</v>
      </c>
      <c r="R26" s="34"/>
    </row>
    <row r="27" spans="2:18" hidden="1" x14ac:dyDescent="0.45">
      <c r="B27" t="s">
        <v>21</v>
      </c>
      <c r="C27" s="18">
        <f>SUMIFS('Realisasi Hilirisasi'!$G:$G,'Realisasi Hilirisasi'!$C:$C,'Per AP'!$B27,'Realisasi Hilirisasi'!$B:$B,'Per AP'!C$6)/1000000</f>
        <v>0</v>
      </c>
      <c r="D27" s="18">
        <f>SUMIFS('Realisasi Hilirisasi'!$G:$G,'Realisasi Hilirisasi'!$C:$C,'Per AP'!$B27,'Realisasi Hilirisasi'!$B:$B,'Per AP'!D$6)/1000000</f>
        <v>0</v>
      </c>
      <c r="E27" s="18">
        <f>SUMIFS('Realisasi Hilirisasi'!$G:$G,'Realisasi Hilirisasi'!$C:$C,'Per AP'!$B27,'Realisasi Hilirisasi'!$B:$B,'Per AP'!E$6)/1000000</f>
        <v>0</v>
      </c>
      <c r="F27" s="18">
        <f>SUMIFS('Realisasi Hilirisasi'!$G:$G,'Realisasi Hilirisasi'!$C:$C,'Per AP'!$B27,'Realisasi Hilirisasi'!$B:$B,'Per AP'!F$6)/1000000</f>
        <v>0</v>
      </c>
      <c r="G27" s="18">
        <f>SUMIFS('Realisasi Hilirisasi'!$G:$G,'Realisasi Hilirisasi'!$C:$C,'Per AP'!$B27,'Realisasi Hilirisasi'!$B:$B,'Per AP'!G$6)/1000000</f>
        <v>0</v>
      </c>
      <c r="H27" s="18">
        <f>SUMIFS('Realisasi Hilirisasi'!$G:$G,'Realisasi Hilirisasi'!$C:$C,'Per AP'!$B27,'Realisasi Hilirisasi'!$B:$B,'Per AP'!H$6)/1000000</f>
        <v>0</v>
      </c>
      <c r="I27" s="18">
        <f>SUMIFS('Realisasi Hilirisasi'!$G:$G,'Realisasi Hilirisasi'!$C:$C,'Per AP'!$B27,'Realisasi Hilirisasi'!$B:$B,'Per AP'!I$6)/1000000</f>
        <v>0</v>
      </c>
      <c r="J27" s="18">
        <f>SUMIFS('Realisasi Hilirisasi'!$G:$G,'Realisasi Hilirisasi'!$C:$C,'Per AP'!$B27,'Realisasi Hilirisasi'!$B:$B,'Per AP'!J$6)/1000000</f>
        <v>0</v>
      </c>
      <c r="K27" s="18">
        <f>SUMIFS('Realisasi Hilirisasi'!$G:$G,'Realisasi Hilirisasi'!$C:$C,'Per AP'!$B27,'Realisasi Hilirisasi'!$B:$B,'Per AP'!K$6)/1000000</f>
        <v>0</v>
      </c>
      <c r="L27" s="18">
        <f>SUMIFS('Realisasi Hilirisasi'!$G:$G,'Realisasi Hilirisasi'!$C:$C,'Per AP'!$B27,'Realisasi Hilirisasi'!$B:$B,'Per AP'!L$6)/1000000</f>
        <v>0</v>
      </c>
      <c r="M27" s="18">
        <f>SUMIFS('Realisasi Hilirisasi'!$G:$G,'Realisasi Hilirisasi'!$C:$C,'Per AP'!$B27,'Realisasi Hilirisasi'!$B:$B,'Per AP'!M$6)/1000000</f>
        <v>0</v>
      </c>
      <c r="N27" s="18">
        <f>SUMIFS('Realisasi Hilirisasi'!$G:$G,'Realisasi Hilirisasi'!$C:$C,'Per AP'!$B27,'Realisasi Hilirisasi'!$B:$B,'Per AP'!N$6)/1000000</f>
        <v>0</v>
      </c>
      <c r="O27" s="18">
        <f t="shared" si="11"/>
        <v>0</v>
      </c>
      <c r="P27" s="18">
        <f>P20*4%</f>
        <v>0</v>
      </c>
      <c r="Q27" s="42" t="e">
        <f t="shared" si="12"/>
        <v>#DIV/0!</v>
      </c>
      <c r="R27" s="34"/>
    </row>
    <row r="28" spans="2:18" x14ac:dyDescent="0.45">
      <c r="B28" s="31" t="s">
        <v>22</v>
      </c>
      <c r="C28" s="32">
        <f>SUM(C24:C27)</f>
        <v>397.71980074254998</v>
      </c>
      <c r="D28" s="32">
        <f t="shared" ref="D28:N28" si="13">SUM(D24:D27)</f>
        <v>6913.7598885875004</v>
      </c>
      <c r="E28" s="32">
        <f t="shared" si="13"/>
        <v>996.87429712727806</v>
      </c>
      <c r="F28" s="32">
        <f t="shared" si="13"/>
        <v>593.55390656816928</v>
      </c>
      <c r="G28" s="32">
        <f t="shared" si="13"/>
        <v>3366.3589913524597</v>
      </c>
      <c r="H28" s="32">
        <f t="shared" si="13"/>
        <v>324.20662064954854</v>
      </c>
      <c r="I28" s="32">
        <f t="shared" si="13"/>
        <v>-73.985932065704773</v>
      </c>
      <c r="J28" s="32">
        <f t="shared" si="13"/>
        <v>10668.302795746402</v>
      </c>
      <c r="K28" s="32">
        <f t="shared" si="13"/>
        <v>1032.2661406682405</v>
      </c>
      <c r="L28" s="32">
        <f t="shared" si="13"/>
        <v>2089.2098272597509</v>
      </c>
      <c r="M28" s="32">
        <f t="shared" si="13"/>
        <v>3117.8547508321653</v>
      </c>
      <c r="N28" s="32">
        <f t="shared" si="13"/>
        <v>3884.5505993518223</v>
      </c>
      <c r="O28" s="32">
        <f>SUM(O24:O27)</f>
        <v>33310.671686820184</v>
      </c>
      <c r="P28" s="32">
        <f>SUM(P24:P27)</f>
        <v>29853</v>
      </c>
      <c r="Q28" s="51">
        <f t="shared" si="12"/>
        <v>1.1158232568525839</v>
      </c>
      <c r="R28" s="50"/>
    </row>
    <row r="29" spans="2:18" x14ac:dyDescent="0.45"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3"/>
      <c r="R29" s="33"/>
    </row>
    <row r="30" spans="2:18" x14ac:dyDescent="0.45">
      <c r="B30" s="29" t="s">
        <v>31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18"/>
      <c r="Q30" s="42"/>
      <c r="R30" s="34"/>
    </row>
    <row r="31" spans="2:18" x14ac:dyDescent="0.45">
      <c r="B31" t="s">
        <v>11</v>
      </c>
      <c r="C31" s="59">
        <f>IF(C10=0,0,C24/C17)</f>
        <v>7.9234720386286595E-2</v>
      </c>
      <c r="D31" s="59">
        <f t="shared" ref="D31:O31" si="14">IF(D10=0,0,D24/D17)</f>
        <v>6.2816332306714698E-2</v>
      </c>
      <c r="E31" s="59">
        <f t="shared" si="14"/>
        <v>9.80977425950776E-2</v>
      </c>
      <c r="F31" s="59">
        <f t="shared" si="14"/>
        <v>8.4288377644654494E-2</v>
      </c>
      <c r="G31" s="59">
        <f t="shared" si="14"/>
        <v>5.4396519118690013E-2</v>
      </c>
      <c r="H31" s="59">
        <f t="shared" si="14"/>
        <v>1.2205854688985242E-2</v>
      </c>
      <c r="I31" s="59">
        <f t="shared" si="14"/>
        <v>-3.6651381904610328E-2</v>
      </c>
      <c r="J31" s="59">
        <f t="shared" si="14"/>
        <v>-0.11328932440623105</v>
      </c>
      <c r="K31" s="59">
        <f t="shared" si="14"/>
        <v>8.0600599068661613E-2</v>
      </c>
      <c r="L31" s="59">
        <f t="shared" si="14"/>
        <v>-6.6698281051751435E-2</v>
      </c>
      <c r="M31" s="59">
        <f t="shared" si="14"/>
        <v>5.5581711431028059E-2</v>
      </c>
      <c r="N31" s="59">
        <f t="shared" si="14"/>
        <v>6.4041710612304154E-2</v>
      </c>
      <c r="O31" s="59">
        <f t="shared" si="14"/>
        <v>3.0311203225553213E-2</v>
      </c>
      <c r="P31" s="34">
        <f t="shared" ref="P31" si="15">P24/P17</f>
        <v>0.05</v>
      </c>
      <c r="Q31" s="42">
        <f t="shared" ref="Q31:Q35" si="16">O31/P31</f>
        <v>0.60622406451106425</v>
      </c>
      <c r="R31" s="34"/>
    </row>
    <row r="32" spans="2:18" x14ac:dyDescent="0.45">
      <c r="B32" t="s">
        <v>14</v>
      </c>
      <c r="C32" s="59">
        <f t="shared" ref="C32:O35" si="17">IF(C11=0,0,C25/C18)</f>
        <v>1.6200884554017345E-2</v>
      </c>
      <c r="D32" s="59">
        <f t="shared" si="17"/>
        <v>0.22431818468864906</v>
      </c>
      <c r="E32" s="59">
        <f t="shared" si="17"/>
        <v>1.3180348693985917E-2</v>
      </c>
      <c r="F32" s="59">
        <f t="shared" si="17"/>
        <v>1.4144998264712345E-2</v>
      </c>
      <c r="G32" s="59">
        <f t="shared" si="17"/>
        <v>0.12299835448578925</v>
      </c>
      <c r="H32" s="59">
        <f t="shared" si="17"/>
        <v>2.4580254746462162E-2</v>
      </c>
      <c r="I32" s="59">
        <f t="shared" si="17"/>
        <v>1.3903335360241808E-2</v>
      </c>
      <c r="J32" s="59">
        <f t="shared" si="17"/>
        <v>7.8566175331191743E-2</v>
      </c>
      <c r="K32" s="59">
        <f t="shared" si="17"/>
        <v>1.4364456048790306E-2</v>
      </c>
      <c r="L32" s="59">
        <f t="shared" si="17"/>
        <v>8.1694700639512841E-2</v>
      </c>
      <c r="M32" s="59">
        <f t="shared" si="17"/>
        <v>2.8447631393759221E-2</v>
      </c>
      <c r="N32" s="59">
        <f t="shared" si="17"/>
        <v>7.4360932635019528E-2</v>
      </c>
      <c r="O32" s="59">
        <f t="shared" si="17"/>
        <v>8.8845266494875924E-2</v>
      </c>
      <c r="P32" s="34">
        <f t="shared" ref="P32:P34" si="18">P25/P18</f>
        <v>0.05</v>
      </c>
      <c r="Q32" s="42">
        <f t="shared" si="16"/>
        <v>1.7769053298975184</v>
      </c>
      <c r="R32" s="34"/>
    </row>
    <row r="33" spans="2:18" x14ac:dyDescent="0.45">
      <c r="B33" t="s">
        <v>16</v>
      </c>
      <c r="C33" s="59">
        <f t="shared" si="17"/>
        <v>2.1660549750303525E-2</v>
      </c>
      <c r="D33" s="59">
        <f t="shared" si="17"/>
        <v>4.5078093451372592E-2</v>
      </c>
      <c r="E33" s="59">
        <f t="shared" si="17"/>
        <v>3.9390480994496026E-2</v>
      </c>
      <c r="F33" s="59">
        <f t="shared" si="17"/>
        <v>1.3617145526611604E-2</v>
      </c>
      <c r="G33" s="59">
        <f t="shared" si="17"/>
        <v>1.4778325123152599E-2</v>
      </c>
      <c r="H33" s="59">
        <f t="shared" si="17"/>
        <v>1.477832512315261E-2</v>
      </c>
      <c r="I33" s="59">
        <f t="shared" si="17"/>
        <v>1.7536475507777864E-2</v>
      </c>
      <c r="J33" s="59">
        <f t="shared" si="17"/>
        <v>0.97992174296010781</v>
      </c>
      <c r="K33" s="59">
        <f t="shared" si="17"/>
        <v>2.7560668323790182E-2</v>
      </c>
      <c r="L33" s="59">
        <f t="shared" si="17"/>
        <v>7.9092322422636002E-2</v>
      </c>
      <c r="M33" s="59">
        <f t="shared" si="17"/>
        <v>0.10936846997271037</v>
      </c>
      <c r="N33" s="59">
        <f t="shared" si="17"/>
        <v>1.6848596111725608E-2</v>
      </c>
      <c r="O33" s="59">
        <f t="shared" si="17"/>
        <v>0.15755904337469157</v>
      </c>
      <c r="P33" s="34">
        <f>P26/P19</f>
        <v>0.03</v>
      </c>
      <c r="Q33" s="42">
        <f t="shared" si="16"/>
        <v>5.2519681124897186</v>
      </c>
      <c r="R33" s="34"/>
    </row>
    <row r="34" spans="2:18" hidden="1" x14ac:dyDescent="0.45">
      <c r="B34" t="s">
        <v>21</v>
      </c>
      <c r="C34" s="59">
        <f t="shared" si="17"/>
        <v>0</v>
      </c>
      <c r="D34" s="59">
        <f t="shared" si="17"/>
        <v>0</v>
      </c>
      <c r="E34" s="59">
        <f t="shared" si="17"/>
        <v>0</v>
      </c>
      <c r="F34" s="59">
        <f t="shared" si="17"/>
        <v>0</v>
      </c>
      <c r="G34" s="59">
        <f t="shared" si="17"/>
        <v>0</v>
      </c>
      <c r="H34" s="59">
        <f t="shared" si="17"/>
        <v>0</v>
      </c>
      <c r="I34" s="59">
        <f t="shared" si="17"/>
        <v>0</v>
      </c>
      <c r="J34" s="59">
        <f t="shared" si="17"/>
        <v>0</v>
      </c>
      <c r="K34" s="59">
        <f t="shared" si="17"/>
        <v>0</v>
      </c>
      <c r="L34" s="59">
        <f t="shared" si="17"/>
        <v>0</v>
      </c>
      <c r="M34" s="59">
        <f t="shared" si="17"/>
        <v>0</v>
      </c>
      <c r="N34" s="59">
        <f t="shared" si="17"/>
        <v>0</v>
      </c>
      <c r="O34" s="59">
        <f t="shared" si="17"/>
        <v>0</v>
      </c>
      <c r="P34" s="34" t="e">
        <f t="shared" si="18"/>
        <v>#DIV/0!</v>
      </c>
      <c r="Q34" s="42" t="e">
        <f t="shared" si="16"/>
        <v>#DIV/0!</v>
      </c>
      <c r="R34" s="34"/>
    </row>
    <row r="35" spans="2:18" x14ac:dyDescent="0.45">
      <c r="B35" s="31" t="s">
        <v>22</v>
      </c>
      <c r="C35" s="35">
        <f t="shared" si="17"/>
        <v>4.0670194178125445E-2</v>
      </c>
      <c r="D35" s="35">
        <f t="shared" si="17"/>
        <v>0.1486939879384212</v>
      </c>
      <c r="E35" s="35">
        <f t="shared" si="17"/>
        <v>5.0476698145687338E-2</v>
      </c>
      <c r="F35" s="35">
        <f t="shared" si="17"/>
        <v>5.4602669348370658E-2</v>
      </c>
      <c r="G35" s="35">
        <f t="shared" si="17"/>
        <v>8.8566218292699395E-2</v>
      </c>
      <c r="H35" s="35">
        <f t="shared" si="17"/>
        <v>2.3669736854449813E-2</v>
      </c>
      <c r="I35" s="35">
        <f t="shared" si="17"/>
        <v>-3.7480376473290168E-3</v>
      </c>
      <c r="J35" s="35">
        <f t="shared" si="17"/>
        <v>0.33485442969409379</v>
      </c>
      <c r="K35" s="35">
        <f t="shared" si="17"/>
        <v>5.0990140603205406E-2</v>
      </c>
      <c r="L35" s="35">
        <f t="shared" si="17"/>
        <v>3.5862846486359637E-2</v>
      </c>
      <c r="M35" s="35">
        <f t="shared" si="17"/>
        <v>6.0564334266731704E-2</v>
      </c>
      <c r="N35" s="35">
        <f t="shared" si="17"/>
        <v>6.8135019818078887E-2</v>
      </c>
      <c r="O35" s="35">
        <f t="shared" si="17"/>
        <v>8.8311789451429465E-2</v>
      </c>
      <c r="P35" s="35">
        <f t="shared" ref="P35" si="19">P28/P21</f>
        <v>4.7607884412974838E-2</v>
      </c>
      <c r="Q35" s="51">
        <f t="shared" si="16"/>
        <v>1.8549824370553498</v>
      </c>
      <c r="R35" s="5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C650-AA86-4092-8B7D-07CAC8A243A2}">
  <dimension ref="B2:AJ26"/>
  <sheetViews>
    <sheetView showGridLines="0" topLeftCell="U1" workbookViewId="0">
      <selection activeCell="AN8" sqref="AN8"/>
    </sheetView>
  </sheetViews>
  <sheetFormatPr defaultRowHeight="14.25" x14ac:dyDescent="0.45"/>
  <cols>
    <col min="1" max="1" width="1.6640625" customWidth="1"/>
    <col min="2" max="2" width="14.19921875" customWidth="1"/>
    <col min="4" max="4" width="3.73046875" bestFit="1" customWidth="1"/>
    <col min="17" max="17" width="9.86328125" bestFit="1" customWidth="1"/>
    <col min="18" max="19" width="14.06640625" bestFit="1" customWidth="1"/>
    <col min="20" max="20" width="9.1328125" customWidth="1"/>
    <col min="22" max="22" width="9.86328125" bestFit="1" customWidth="1"/>
  </cols>
  <sheetData>
    <row r="2" spans="2:36" x14ac:dyDescent="0.45">
      <c r="B2" s="12" t="s">
        <v>54</v>
      </c>
    </row>
    <row r="4" spans="2:36" ht="18" x14ac:dyDescent="0.55000000000000004">
      <c r="B4" s="56" t="s">
        <v>115</v>
      </c>
    </row>
    <row r="5" spans="2:36" x14ac:dyDescent="0.45">
      <c r="Y5">
        <v>1</v>
      </c>
      <c r="Z5">
        <f>Y5+1</f>
        <v>2</v>
      </c>
      <c r="AA5">
        <f t="shared" ref="AA5:AJ5" si="0">Z5+1</f>
        <v>3</v>
      </c>
      <c r="AB5">
        <f t="shared" si="0"/>
        <v>4</v>
      </c>
      <c r="AC5">
        <f t="shared" si="0"/>
        <v>5</v>
      </c>
      <c r="AD5">
        <f t="shared" si="0"/>
        <v>6</v>
      </c>
      <c r="AE5">
        <f t="shared" si="0"/>
        <v>7</v>
      </c>
      <c r="AF5">
        <f t="shared" si="0"/>
        <v>8</v>
      </c>
      <c r="AG5">
        <f t="shared" si="0"/>
        <v>9</v>
      </c>
      <c r="AH5">
        <f t="shared" si="0"/>
        <v>10</v>
      </c>
      <c r="AI5">
        <f t="shared" si="0"/>
        <v>11</v>
      </c>
      <c r="AJ5">
        <f t="shared" si="0"/>
        <v>12</v>
      </c>
    </row>
    <row r="7" spans="2:36" x14ac:dyDescent="0.45">
      <c r="B7" s="46" t="s">
        <v>49</v>
      </c>
      <c r="C7" s="53"/>
      <c r="D7" s="53"/>
      <c r="E7" s="54">
        <v>45658</v>
      </c>
      <c r="F7" s="54">
        <f>E7+31</f>
        <v>45689</v>
      </c>
      <c r="G7" s="54">
        <f t="shared" ref="G7:P7" si="1">F7+31</f>
        <v>45720</v>
      </c>
      <c r="H7" s="54">
        <f t="shared" si="1"/>
        <v>45751</v>
      </c>
      <c r="I7" s="54">
        <f t="shared" si="1"/>
        <v>45782</v>
      </c>
      <c r="J7" s="54">
        <f t="shared" si="1"/>
        <v>45813</v>
      </c>
      <c r="K7" s="54">
        <f t="shared" si="1"/>
        <v>45844</v>
      </c>
      <c r="L7" s="54">
        <f t="shared" si="1"/>
        <v>45875</v>
      </c>
      <c r="M7" s="54">
        <f t="shared" si="1"/>
        <v>45906</v>
      </c>
      <c r="N7" s="54">
        <f t="shared" si="1"/>
        <v>45937</v>
      </c>
      <c r="O7" s="54">
        <f t="shared" si="1"/>
        <v>45968</v>
      </c>
      <c r="P7" s="54">
        <f t="shared" si="1"/>
        <v>45999</v>
      </c>
      <c r="Q7" s="44" t="s">
        <v>23</v>
      </c>
      <c r="R7" s="55" t="s">
        <v>73</v>
      </c>
      <c r="S7" s="55" t="s">
        <v>74</v>
      </c>
      <c r="T7" s="58" t="s">
        <v>77</v>
      </c>
      <c r="Y7" s="54">
        <v>45658</v>
      </c>
      <c r="Z7" s="54">
        <f>Y7+31</f>
        <v>45689</v>
      </c>
      <c r="AA7" s="54">
        <f t="shared" ref="AA7" si="2">Z7+31</f>
        <v>45720</v>
      </c>
      <c r="AB7" s="54">
        <f t="shared" ref="AB7" si="3">AA7+31</f>
        <v>45751</v>
      </c>
      <c r="AC7" s="54">
        <f t="shared" ref="AC7" si="4">AB7+31</f>
        <v>45782</v>
      </c>
      <c r="AD7" s="54">
        <f t="shared" ref="AD7" si="5">AC7+31</f>
        <v>45813</v>
      </c>
      <c r="AE7" s="54">
        <f t="shared" ref="AE7" si="6">AD7+31</f>
        <v>45844</v>
      </c>
      <c r="AF7" s="54">
        <f t="shared" ref="AF7" si="7">AE7+31</f>
        <v>45875</v>
      </c>
      <c r="AG7" s="54">
        <f t="shared" ref="AG7" si="8">AF7+31</f>
        <v>45906</v>
      </c>
      <c r="AH7" s="54">
        <f t="shared" ref="AH7" si="9">AG7+31</f>
        <v>45937</v>
      </c>
      <c r="AI7" s="54">
        <f t="shared" ref="AI7" si="10">AH7+31</f>
        <v>45968</v>
      </c>
      <c r="AJ7" s="54">
        <f t="shared" ref="AJ7" si="11">AI7+31</f>
        <v>45999</v>
      </c>
    </row>
    <row r="8" spans="2:36" ht="4.5" customHeight="1" x14ac:dyDescent="0.45"/>
    <row r="9" spans="2:36" x14ac:dyDescent="0.45">
      <c r="B9" t="s">
        <v>56</v>
      </c>
      <c r="D9" t="s">
        <v>9</v>
      </c>
      <c r="E9" s="18">
        <v>2200</v>
      </c>
      <c r="F9" s="18">
        <v>2225</v>
      </c>
      <c r="G9" s="18">
        <v>1125</v>
      </c>
      <c r="H9" s="18">
        <v>1200</v>
      </c>
      <c r="I9" s="18">
        <v>1700</v>
      </c>
      <c r="J9" s="18">
        <v>2350</v>
      </c>
      <c r="K9" s="18">
        <v>2475</v>
      </c>
      <c r="L9" s="18">
        <v>2500</v>
      </c>
      <c r="M9" s="18">
        <v>2500</v>
      </c>
      <c r="N9" s="18">
        <v>2500</v>
      </c>
      <c r="O9" s="18">
        <v>2500</v>
      </c>
      <c r="P9" s="18">
        <v>1725</v>
      </c>
      <c r="Q9" s="19">
        <f>SUM(E9:P9)</f>
        <v>25000</v>
      </c>
      <c r="R9" s="18">
        <v>9926.3787768322436</v>
      </c>
      <c r="S9" s="18">
        <f>'Per AP#2'!U19</f>
        <v>18157</v>
      </c>
      <c r="T9" s="42">
        <f>Q9/R9</f>
        <v>2.5185418128863835</v>
      </c>
      <c r="Y9" s="18">
        <f>E9</f>
        <v>2200</v>
      </c>
      <c r="Z9" s="18">
        <f>Y9+F9</f>
        <v>4425</v>
      </c>
      <c r="AA9" s="18">
        <f t="shared" ref="AA9:AJ9" si="12">Z9+G9</f>
        <v>5550</v>
      </c>
      <c r="AB9" s="18">
        <f t="shared" si="12"/>
        <v>6750</v>
      </c>
      <c r="AC9" s="18">
        <f t="shared" si="12"/>
        <v>8450</v>
      </c>
      <c r="AD9" s="18">
        <f t="shared" si="12"/>
        <v>10800</v>
      </c>
      <c r="AE9" s="18">
        <f t="shared" si="12"/>
        <v>13275</v>
      </c>
      <c r="AF9" s="18">
        <f t="shared" si="12"/>
        <v>15775</v>
      </c>
      <c r="AG9" s="18">
        <f t="shared" si="12"/>
        <v>18275</v>
      </c>
      <c r="AH9" s="18">
        <f t="shared" si="12"/>
        <v>20775</v>
      </c>
      <c r="AI9" s="18">
        <f t="shared" si="12"/>
        <v>23275</v>
      </c>
      <c r="AJ9" s="18">
        <f t="shared" si="12"/>
        <v>25000</v>
      </c>
    </row>
    <row r="10" spans="2:36" x14ac:dyDescent="0.45">
      <c r="B10" t="s">
        <v>14</v>
      </c>
      <c r="D10" t="s">
        <v>9</v>
      </c>
      <c r="E10" s="18">
        <v>378</v>
      </c>
      <c r="F10" s="18">
        <v>630</v>
      </c>
      <c r="G10" s="18">
        <v>630</v>
      </c>
      <c r="H10" s="18">
        <v>630</v>
      </c>
      <c r="I10" s="18">
        <v>378</v>
      </c>
      <c r="J10" s="18">
        <v>630</v>
      </c>
      <c r="K10" s="18">
        <v>630</v>
      </c>
      <c r="L10" s="18">
        <v>630</v>
      </c>
      <c r="M10" s="18">
        <v>630</v>
      </c>
      <c r="N10" s="18">
        <v>630</v>
      </c>
      <c r="O10" s="18">
        <v>630</v>
      </c>
      <c r="P10" s="18">
        <v>378</v>
      </c>
      <c r="Q10" s="19">
        <f t="shared" ref="Q10:Q12" si="13">SUM(E10:P10)</f>
        <v>6804</v>
      </c>
      <c r="R10" s="18">
        <v>4725.4849999999997</v>
      </c>
      <c r="S10" s="18">
        <f>'Per AP#2'!U20</f>
        <v>1617</v>
      </c>
      <c r="T10" s="42">
        <f t="shared" ref="T10:T14" si="14">Q10/R10</f>
        <v>1.4398522056466163</v>
      </c>
      <c r="V10" s="59">
        <f>Q10/R10</f>
        <v>1.4398522056466163</v>
      </c>
      <c r="Y10" s="18">
        <f t="shared" ref="Y10:Y12" si="15">E10</f>
        <v>378</v>
      </c>
      <c r="Z10" s="18">
        <f t="shared" ref="Z10:Z12" si="16">Y10+F10</f>
        <v>1008</v>
      </c>
      <c r="AA10" s="18">
        <f t="shared" ref="AA10:AA12" si="17">Z10+G10</f>
        <v>1638</v>
      </c>
      <c r="AB10" s="18">
        <f t="shared" ref="AB10:AB12" si="18">AA10+H10</f>
        <v>2268</v>
      </c>
      <c r="AC10" s="18">
        <f t="shared" ref="AC10:AC12" si="19">AB10+I10</f>
        <v>2646</v>
      </c>
      <c r="AD10" s="18">
        <f t="shared" ref="AD10:AD12" si="20">AC10+J10</f>
        <v>3276</v>
      </c>
      <c r="AE10" s="18">
        <f t="shared" ref="AE10:AE12" si="21">AD10+K10</f>
        <v>3906</v>
      </c>
      <c r="AF10" s="18">
        <f t="shared" ref="AF10:AF12" si="22">AE10+L10</f>
        <v>4536</v>
      </c>
      <c r="AG10" s="18">
        <f t="shared" ref="AG10:AG12" si="23">AF10+M10</f>
        <v>5166</v>
      </c>
      <c r="AH10" s="18">
        <f t="shared" ref="AH10:AH12" si="24">AG10+N10</f>
        <v>5796</v>
      </c>
      <c r="AI10" s="18">
        <f t="shared" ref="AI10:AI12" si="25">AH10+O10</f>
        <v>6426</v>
      </c>
      <c r="AJ10" s="18">
        <f t="shared" ref="AJ10:AJ12" si="26">AI10+P10</f>
        <v>6804</v>
      </c>
    </row>
    <row r="11" spans="2:36" x14ac:dyDescent="0.45">
      <c r="B11" t="s">
        <v>16</v>
      </c>
      <c r="D11" t="s">
        <v>9</v>
      </c>
      <c r="E11" s="18">
        <v>400</v>
      </c>
      <c r="F11" s="18">
        <v>400</v>
      </c>
      <c r="G11" s="18">
        <v>300</v>
      </c>
      <c r="H11" s="18">
        <v>200</v>
      </c>
      <c r="I11" s="18">
        <v>500</v>
      </c>
      <c r="J11" s="18">
        <v>500</v>
      </c>
      <c r="K11" s="18">
        <v>500</v>
      </c>
      <c r="L11" s="18">
        <v>500</v>
      </c>
      <c r="M11" s="18">
        <v>500</v>
      </c>
      <c r="N11" s="18">
        <v>500</v>
      </c>
      <c r="O11" s="18">
        <v>500</v>
      </c>
      <c r="P11" s="18">
        <v>200</v>
      </c>
      <c r="Q11" s="19">
        <f t="shared" si="13"/>
        <v>5000</v>
      </c>
      <c r="R11" s="18">
        <v>7412.5586675032855</v>
      </c>
      <c r="S11" s="18">
        <f>'Per AP#2'!U21</f>
        <v>5200</v>
      </c>
      <c r="T11" s="42">
        <f t="shared" si="14"/>
        <v>0.67453091763307571</v>
      </c>
      <c r="Y11" s="18">
        <f t="shared" si="15"/>
        <v>400</v>
      </c>
      <c r="Z11" s="18">
        <f t="shared" si="16"/>
        <v>800</v>
      </c>
      <c r="AA11" s="18">
        <f t="shared" si="17"/>
        <v>1100</v>
      </c>
      <c r="AB11" s="18">
        <f t="shared" si="18"/>
        <v>1300</v>
      </c>
      <c r="AC11" s="18">
        <f t="shared" si="19"/>
        <v>1800</v>
      </c>
      <c r="AD11" s="18">
        <f t="shared" si="20"/>
        <v>2300</v>
      </c>
      <c r="AE11" s="18">
        <f t="shared" si="21"/>
        <v>2800</v>
      </c>
      <c r="AF11" s="18">
        <f t="shared" si="22"/>
        <v>3300</v>
      </c>
      <c r="AG11" s="18">
        <f t="shared" si="23"/>
        <v>3800</v>
      </c>
      <c r="AH11" s="18">
        <f t="shared" si="24"/>
        <v>4300</v>
      </c>
      <c r="AI11" s="18">
        <f t="shared" si="25"/>
        <v>4800</v>
      </c>
      <c r="AJ11" s="18">
        <f t="shared" si="26"/>
        <v>5000</v>
      </c>
    </row>
    <row r="12" spans="2:36" x14ac:dyDescent="0.45">
      <c r="B12" t="s">
        <v>21</v>
      </c>
      <c r="D12" t="s">
        <v>9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9">
        <f t="shared" si="13"/>
        <v>0</v>
      </c>
      <c r="R12" s="18">
        <v>3565.8</v>
      </c>
      <c r="S12" s="18">
        <f>'Per AP#2'!U22</f>
        <v>2757</v>
      </c>
      <c r="T12" s="42">
        <f t="shared" si="14"/>
        <v>0</v>
      </c>
      <c r="Y12" s="18">
        <f t="shared" si="15"/>
        <v>0</v>
      </c>
      <c r="Z12" s="18">
        <f t="shared" si="16"/>
        <v>0</v>
      </c>
      <c r="AA12" s="18">
        <f t="shared" si="17"/>
        <v>0</v>
      </c>
      <c r="AB12" s="18">
        <f t="shared" si="18"/>
        <v>0</v>
      </c>
      <c r="AC12" s="18">
        <f t="shared" si="19"/>
        <v>0</v>
      </c>
      <c r="AD12" s="18">
        <f t="shared" si="20"/>
        <v>0</v>
      </c>
      <c r="AE12" s="18">
        <f t="shared" si="21"/>
        <v>0</v>
      </c>
      <c r="AF12" s="18">
        <f t="shared" si="22"/>
        <v>0</v>
      </c>
      <c r="AG12" s="18">
        <f t="shared" si="23"/>
        <v>0</v>
      </c>
      <c r="AH12" s="18">
        <f t="shared" si="24"/>
        <v>0</v>
      </c>
      <c r="AI12" s="18">
        <f t="shared" si="25"/>
        <v>0</v>
      </c>
      <c r="AJ12" s="18">
        <f t="shared" si="26"/>
        <v>0</v>
      </c>
    </row>
    <row r="13" spans="2:36" ht="3.5" customHeight="1" x14ac:dyDescent="0.45"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</row>
    <row r="14" spans="2:36" x14ac:dyDescent="0.45">
      <c r="B14" s="46" t="s">
        <v>72</v>
      </c>
      <c r="C14" s="46"/>
      <c r="D14" s="46" t="s">
        <v>9</v>
      </c>
      <c r="E14" s="45">
        <f>SUM(E9:E13)</f>
        <v>2978</v>
      </c>
      <c r="F14" s="45">
        <f t="shared" ref="F14:Q14" si="27">SUM(F9:F13)</f>
        <v>3255</v>
      </c>
      <c r="G14" s="45">
        <f t="shared" si="27"/>
        <v>2055</v>
      </c>
      <c r="H14" s="45">
        <f t="shared" si="27"/>
        <v>2030</v>
      </c>
      <c r="I14" s="45">
        <f t="shared" si="27"/>
        <v>2578</v>
      </c>
      <c r="J14" s="45">
        <f t="shared" si="27"/>
        <v>3480</v>
      </c>
      <c r="K14" s="45">
        <f t="shared" si="27"/>
        <v>3605</v>
      </c>
      <c r="L14" s="45">
        <f t="shared" si="27"/>
        <v>3630</v>
      </c>
      <c r="M14" s="45">
        <f t="shared" si="27"/>
        <v>3630</v>
      </c>
      <c r="N14" s="45">
        <f t="shared" si="27"/>
        <v>3630</v>
      </c>
      <c r="O14" s="45">
        <f t="shared" si="27"/>
        <v>3630</v>
      </c>
      <c r="P14" s="45">
        <f t="shared" si="27"/>
        <v>2303</v>
      </c>
      <c r="Q14" s="45">
        <f t="shared" si="27"/>
        <v>36804</v>
      </c>
      <c r="R14" s="45">
        <f t="shared" ref="R14" si="28">SUM(R9:R13)</f>
        <v>25630.22244433553</v>
      </c>
      <c r="S14" s="45">
        <f t="shared" ref="S14" si="29">SUM(S9:S13)</f>
        <v>27731</v>
      </c>
      <c r="T14" s="47">
        <f t="shared" si="14"/>
        <v>1.4359610057982137</v>
      </c>
      <c r="Y14" s="45">
        <f>SUM(Y9:Y13)</f>
        <v>2978</v>
      </c>
      <c r="Z14" s="45">
        <f t="shared" ref="Z14:AJ14" si="30">SUM(Z9:Z13)</f>
        <v>6233</v>
      </c>
      <c r="AA14" s="45">
        <f t="shared" si="30"/>
        <v>8288</v>
      </c>
      <c r="AB14" s="45">
        <f t="shared" si="30"/>
        <v>10318</v>
      </c>
      <c r="AC14" s="45">
        <f t="shared" si="30"/>
        <v>12896</v>
      </c>
      <c r="AD14" s="45">
        <f t="shared" si="30"/>
        <v>16376</v>
      </c>
      <c r="AE14" s="45">
        <f t="shared" si="30"/>
        <v>19981</v>
      </c>
      <c r="AF14" s="45">
        <f t="shared" si="30"/>
        <v>23611</v>
      </c>
      <c r="AG14" s="45">
        <f t="shared" si="30"/>
        <v>27241</v>
      </c>
      <c r="AH14" s="45">
        <f t="shared" si="30"/>
        <v>30871</v>
      </c>
      <c r="AI14" s="45">
        <f t="shared" si="30"/>
        <v>34501</v>
      </c>
      <c r="AJ14" s="45">
        <f t="shared" si="30"/>
        <v>36804</v>
      </c>
    </row>
    <row r="15" spans="2:36" x14ac:dyDescent="0.45"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2:36" x14ac:dyDescent="0.45">
      <c r="B16" s="57" t="s">
        <v>76</v>
      </c>
    </row>
    <row r="17" spans="2:24" x14ac:dyDescent="0.45">
      <c r="B17" s="46" t="s">
        <v>75</v>
      </c>
      <c r="C17" s="53"/>
      <c r="D17" s="53"/>
      <c r="E17" s="54">
        <v>45292</v>
      </c>
      <c r="F17" s="54">
        <f>E17+31</f>
        <v>45323</v>
      </c>
      <c r="G17" s="54">
        <f t="shared" ref="G17:P17" si="31">F17+31</f>
        <v>45354</v>
      </c>
      <c r="H17" s="54">
        <f t="shared" si="31"/>
        <v>45385</v>
      </c>
      <c r="I17" s="54">
        <f t="shared" si="31"/>
        <v>45416</v>
      </c>
      <c r="J17" s="54">
        <f t="shared" si="31"/>
        <v>45447</v>
      </c>
      <c r="K17" s="54">
        <f t="shared" si="31"/>
        <v>45478</v>
      </c>
      <c r="L17" s="54">
        <f t="shared" si="31"/>
        <v>45509</v>
      </c>
      <c r="M17" s="54">
        <f t="shared" si="31"/>
        <v>45540</v>
      </c>
      <c r="N17" s="54">
        <f t="shared" si="31"/>
        <v>45571</v>
      </c>
      <c r="O17" s="54">
        <f t="shared" si="31"/>
        <v>45602</v>
      </c>
      <c r="P17" s="54">
        <f t="shared" si="31"/>
        <v>45633</v>
      </c>
      <c r="Q17" s="44" t="s">
        <v>23</v>
      </c>
      <c r="R17" s="55" t="s">
        <v>73</v>
      </c>
      <c r="S17" s="55" t="s">
        <v>74</v>
      </c>
      <c r="T17" s="58" t="s">
        <v>77</v>
      </c>
    </row>
    <row r="18" spans="2:24" ht="4.5" customHeight="1" x14ac:dyDescent="0.45"/>
    <row r="19" spans="2:24" x14ac:dyDescent="0.45">
      <c r="B19" t="s">
        <v>56</v>
      </c>
      <c r="D19" t="s">
        <v>9</v>
      </c>
      <c r="E19" s="18">
        <f>E9</f>
        <v>2200</v>
      </c>
      <c r="F19" s="18">
        <f t="shared" ref="F19:P19" si="32">F9</f>
        <v>2225</v>
      </c>
      <c r="G19" s="18">
        <f t="shared" si="32"/>
        <v>1125</v>
      </c>
      <c r="H19" s="18">
        <f t="shared" si="32"/>
        <v>1200</v>
      </c>
      <c r="I19" s="18">
        <f t="shared" si="32"/>
        <v>1700</v>
      </c>
      <c r="J19" s="18">
        <f t="shared" si="32"/>
        <v>2350</v>
      </c>
      <c r="K19" s="18">
        <f t="shared" si="32"/>
        <v>2475</v>
      </c>
      <c r="L19" s="18">
        <f t="shared" si="32"/>
        <v>2500</v>
      </c>
      <c r="M19" s="18">
        <f t="shared" si="32"/>
        <v>2500</v>
      </c>
      <c r="N19" s="18">
        <f t="shared" si="32"/>
        <v>2500</v>
      </c>
      <c r="O19" s="18">
        <f t="shared" si="32"/>
        <v>2500</v>
      </c>
      <c r="P19" s="18">
        <f t="shared" si="32"/>
        <v>1725</v>
      </c>
      <c r="Q19" s="19">
        <f>SUM(E19:P19)</f>
        <v>25000</v>
      </c>
      <c r="R19" s="40">
        <f>R9</f>
        <v>9926.3787768322436</v>
      </c>
      <c r="S19" s="40">
        <f>S9</f>
        <v>18157</v>
      </c>
      <c r="T19" s="42">
        <f>Q19/R19</f>
        <v>2.5185418128863835</v>
      </c>
      <c r="V19" s="18">
        <f>Q19</f>
        <v>25000</v>
      </c>
    </row>
    <row r="20" spans="2:24" x14ac:dyDescent="0.45">
      <c r="B20" t="s">
        <v>14</v>
      </c>
      <c r="D20" t="s">
        <v>9</v>
      </c>
      <c r="E20" s="18">
        <f>E10</f>
        <v>378</v>
      </c>
      <c r="F20" s="18">
        <f t="shared" ref="F20:P20" si="33">F10</f>
        <v>630</v>
      </c>
      <c r="G20" s="18">
        <f t="shared" si="33"/>
        <v>630</v>
      </c>
      <c r="H20" s="18">
        <f t="shared" si="33"/>
        <v>630</v>
      </c>
      <c r="I20" s="18">
        <f t="shared" si="33"/>
        <v>378</v>
      </c>
      <c r="J20" s="18">
        <f t="shared" si="33"/>
        <v>630</v>
      </c>
      <c r="K20" s="18">
        <f t="shared" si="33"/>
        <v>630</v>
      </c>
      <c r="L20" s="18">
        <f t="shared" si="33"/>
        <v>630</v>
      </c>
      <c r="M20" s="18">
        <f t="shared" si="33"/>
        <v>630</v>
      </c>
      <c r="N20" s="18">
        <f t="shared" si="33"/>
        <v>630</v>
      </c>
      <c r="O20" s="18">
        <f t="shared" si="33"/>
        <v>630</v>
      </c>
      <c r="P20" s="18">
        <f t="shared" si="33"/>
        <v>378</v>
      </c>
      <c r="Q20" s="19">
        <f t="shared" ref="Q20:Q22" si="34">SUM(E20:P20)</f>
        <v>6804</v>
      </c>
      <c r="R20" s="40">
        <f t="shared" ref="R20:S22" si="35">R10</f>
        <v>4725.4849999999997</v>
      </c>
      <c r="S20" s="40">
        <f t="shared" si="35"/>
        <v>1617</v>
      </c>
      <c r="T20" s="42">
        <f t="shared" ref="T20:T24" si="36">Q20/R20</f>
        <v>1.4398522056466163</v>
      </c>
      <c r="V20" s="18">
        <f>CEILING(R20*1.15,50)</f>
        <v>5450</v>
      </c>
      <c r="X20">
        <f>V20/Q10</f>
        <v>0.80099941211052317</v>
      </c>
    </row>
    <row r="21" spans="2:24" x14ac:dyDescent="0.45">
      <c r="B21" t="s">
        <v>16</v>
      </c>
      <c r="D21" t="s">
        <v>9</v>
      </c>
      <c r="E21" s="18">
        <v>750</v>
      </c>
      <c r="F21" s="18">
        <v>750</v>
      </c>
      <c r="G21" s="18">
        <v>750</v>
      </c>
      <c r="H21" s="18">
        <v>500</v>
      </c>
      <c r="I21" s="18">
        <v>750</v>
      </c>
      <c r="J21" s="18">
        <v>750</v>
      </c>
      <c r="K21" s="18">
        <v>750</v>
      </c>
      <c r="L21" s="18">
        <v>750</v>
      </c>
      <c r="M21" s="18">
        <v>750</v>
      </c>
      <c r="N21" s="18">
        <v>750</v>
      </c>
      <c r="O21" s="18">
        <v>750</v>
      </c>
      <c r="P21" s="18">
        <v>500</v>
      </c>
      <c r="Q21" s="19">
        <f t="shared" si="34"/>
        <v>8500</v>
      </c>
      <c r="R21" s="40">
        <f t="shared" si="35"/>
        <v>7412.5586675032855</v>
      </c>
      <c r="S21" s="40">
        <f t="shared" si="35"/>
        <v>5200</v>
      </c>
      <c r="T21" s="42">
        <f t="shared" si="36"/>
        <v>1.1467025599762286</v>
      </c>
      <c r="V21" s="18">
        <f>Q21</f>
        <v>8500</v>
      </c>
    </row>
    <row r="22" spans="2:24" x14ac:dyDescent="0.45">
      <c r="B22" t="s">
        <v>21</v>
      </c>
      <c r="D22" t="s">
        <v>9</v>
      </c>
      <c r="E22" s="18">
        <f>E12</f>
        <v>0</v>
      </c>
      <c r="F22" s="18">
        <f t="shared" ref="F22:P22" si="37">F12</f>
        <v>0</v>
      </c>
      <c r="G22" s="18">
        <f t="shared" si="37"/>
        <v>0</v>
      </c>
      <c r="H22" s="18">
        <f t="shared" si="37"/>
        <v>0</v>
      </c>
      <c r="I22" s="18">
        <f t="shared" si="37"/>
        <v>0</v>
      </c>
      <c r="J22" s="18">
        <f t="shared" si="37"/>
        <v>0</v>
      </c>
      <c r="K22" s="18">
        <v>325</v>
      </c>
      <c r="L22" s="18">
        <v>325</v>
      </c>
      <c r="M22" s="18">
        <v>325</v>
      </c>
      <c r="N22" s="18">
        <v>325</v>
      </c>
      <c r="O22" s="18">
        <v>325</v>
      </c>
      <c r="P22" s="18">
        <f t="shared" si="37"/>
        <v>0</v>
      </c>
      <c r="Q22" s="19">
        <f t="shared" si="34"/>
        <v>1625</v>
      </c>
      <c r="R22" s="40">
        <f t="shared" si="35"/>
        <v>3565.8</v>
      </c>
      <c r="S22" s="40">
        <f t="shared" si="35"/>
        <v>2757</v>
      </c>
      <c r="T22" s="42">
        <f t="shared" si="36"/>
        <v>0.45571821190195744</v>
      </c>
      <c r="V22" s="18">
        <f>Q22</f>
        <v>1625</v>
      </c>
    </row>
    <row r="23" spans="2:24" ht="4.25" customHeight="1" x14ac:dyDescent="0.45"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 spans="2:24" x14ac:dyDescent="0.45">
      <c r="B24" s="46" t="s">
        <v>72</v>
      </c>
      <c r="C24" s="46"/>
      <c r="D24" s="46" t="s">
        <v>9</v>
      </c>
      <c r="E24" s="45">
        <f>SUM(E19:E23)</f>
        <v>3328</v>
      </c>
      <c r="F24" s="45">
        <f t="shared" ref="F24" si="38">SUM(F19:F23)</f>
        <v>3605</v>
      </c>
      <c r="G24" s="45">
        <f t="shared" ref="G24" si="39">SUM(G19:G23)</f>
        <v>2505</v>
      </c>
      <c r="H24" s="45">
        <f t="shared" ref="H24" si="40">SUM(H19:H23)</f>
        <v>2330</v>
      </c>
      <c r="I24" s="45">
        <f t="shared" ref="I24" si="41">SUM(I19:I23)</f>
        <v>2828</v>
      </c>
      <c r="J24" s="45">
        <f t="shared" ref="J24" si="42">SUM(J19:J23)</f>
        <v>3730</v>
      </c>
      <c r="K24" s="45">
        <f t="shared" ref="K24" si="43">SUM(K19:K23)</f>
        <v>4180</v>
      </c>
      <c r="L24" s="45">
        <f t="shared" ref="L24" si="44">SUM(L19:L23)</f>
        <v>4205</v>
      </c>
      <c r="M24" s="45">
        <f t="shared" ref="M24" si="45">SUM(M19:M23)</f>
        <v>4205</v>
      </c>
      <c r="N24" s="45">
        <f t="shared" ref="N24" si="46">SUM(N19:N23)</f>
        <v>4205</v>
      </c>
      <c r="O24" s="45">
        <f t="shared" ref="O24" si="47">SUM(O19:O23)</f>
        <v>4205</v>
      </c>
      <c r="P24" s="45">
        <f t="shared" ref="P24" si="48">SUM(P19:P23)</f>
        <v>2603</v>
      </c>
      <c r="Q24" s="45">
        <f>SUM(Q19:Q23)</f>
        <v>41929</v>
      </c>
      <c r="R24" s="45">
        <f t="shared" ref="R24" si="49">SUM(R19:R23)</f>
        <v>25630.22244433553</v>
      </c>
      <c r="S24" s="45">
        <f t="shared" ref="S24" si="50">SUM(S19:S23)</f>
        <v>27731</v>
      </c>
      <c r="T24" s="47">
        <f t="shared" si="36"/>
        <v>1.6359202535624744</v>
      </c>
      <c r="V24" s="45">
        <f>SUM(V19:V23)</f>
        <v>40575</v>
      </c>
    </row>
    <row r="25" spans="2:24" x14ac:dyDescent="0.45">
      <c r="R25" s="14"/>
      <c r="V25">
        <f>V24/R24</f>
        <v>1.5830919957141214</v>
      </c>
    </row>
    <row r="26" spans="2:24" x14ac:dyDescent="0.45">
      <c r="Q26" s="15">
        <f>25600*1.2</f>
        <v>30720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CE0F-3718-47DA-B262-61B2712B3133}">
  <sheetPr>
    <pageSetUpPr fitToPage="1"/>
  </sheetPr>
  <dimension ref="B3:N30"/>
  <sheetViews>
    <sheetView showGridLines="0" zoomScale="85" zoomScaleNormal="85" workbookViewId="0">
      <selection activeCell="Q12" sqref="Q12"/>
    </sheetView>
  </sheetViews>
  <sheetFormatPr defaultColWidth="9.19921875" defaultRowHeight="14.25" x14ac:dyDescent="0.45"/>
  <cols>
    <col min="1" max="1" width="9.19921875" style="52"/>
    <col min="2" max="2" width="32.46484375" style="52" bestFit="1" customWidth="1"/>
    <col min="3" max="3" width="7.86328125" style="52" bestFit="1" customWidth="1"/>
    <col min="4" max="4" width="7.86328125" style="52" customWidth="1"/>
    <col min="5" max="5" width="12.6640625" style="90" bestFit="1" customWidth="1"/>
    <col min="6" max="6" width="12.6640625" style="90" hidden="1" customWidth="1"/>
    <col min="7" max="7" width="13.53125" style="90" hidden="1" customWidth="1"/>
    <col min="8" max="8" width="1.53125" style="52" customWidth="1"/>
    <col min="9" max="9" width="12.6640625" style="90" bestFit="1" customWidth="1"/>
    <col min="10" max="10" width="16.59765625" style="90" hidden="1" customWidth="1"/>
    <col min="11" max="11" width="15.53125" style="90" hidden="1" customWidth="1"/>
    <col min="12" max="16384" width="9.19921875" style="52"/>
  </cols>
  <sheetData>
    <row r="3" spans="2:14" x14ac:dyDescent="0.45">
      <c r="B3" s="91" t="s">
        <v>54</v>
      </c>
    </row>
    <row r="4" spans="2:14" ht="18" x14ac:dyDescent="0.55000000000000004">
      <c r="B4" s="97" t="s">
        <v>110</v>
      </c>
    </row>
    <row r="6" spans="2:14" ht="42.5" customHeight="1" x14ac:dyDescent="0.45">
      <c r="B6" s="114" t="s">
        <v>109</v>
      </c>
      <c r="C6" s="99"/>
      <c r="D6" s="98" t="s">
        <v>113</v>
      </c>
      <c r="E6" s="98" t="s">
        <v>111</v>
      </c>
      <c r="F6" s="98"/>
      <c r="G6" s="98"/>
      <c r="H6" s="100"/>
      <c r="I6" s="114" t="s">
        <v>112</v>
      </c>
      <c r="J6" s="114"/>
      <c r="K6" s="114"/>
    </row>
    <row r="7" spans="2:14" x14ac:dyDescent="0.45">
      <c r="B7" s="114"/>
      <c r="C7" s="93" t="s">
        <v>55</v>
      </c>
      <c r="D7" s="101" t="s">
        <v>101</v>
      </c>
      <c r="E7" s="101" t="s">
        <v>101</v>
      </c>
      <c r="F7" s="101" t="s">
        <v>60</v>
      </c>
      <c r="G7" s="101" t="s">
        <v>10</v>
      </c>
      <c r="H7" s="100"/>
      <c r="I7" s="101" t="s">
        <v>101</v>
      </c>
      <c r="J7" s="101" t="s">
        <v>60</v>
      </c>
      <c r="K7" s="101" t="s">
        <v>10</v>
      </c>
    </row>
    <row r="8" spans="2:14" x14ac:dyDescent="0.45">
      <c r="B8" s="52" t="s">
        <v>32</v>
      </c>
      <c r="C8" s="52" t="s">
        <v>102</v>
      </c>
      <c r="D8" s="90">
        <v>6868.9573099999998</v>
      </c>
      <c r="E8" s="90">
        <v>3880.7409005361178</v>
      </c>
      <c r="F8" s="89">
        <v>21.731800160890003</v>
      </c>
      <c r="G8" s="89">
        <v>1.5401928425955744</v>
      </c>
      <c r="I8" s="90">
        <f>SUMIF('Realisasi Hilirisasi'!$D:$D,Perbandingan!$B8,'Realisasi Hilirisasi'!E:E)-I9</f>
        <v>528.70598115789471</v>
      </c>
      <c r="J8" s="89">
        <f>SUMIF('Realisasi Hilirisasi'!$D:$D,Perbandingan!$B8,'Realisasi Hilirisasi'!F:F)/1000000000-J9</f>
        <v>45.352707499800694</v>
      </c>
      <c r="K8" s="89">
        <f>SUMIF('Realisasi Hilirisasi'!$D:$D,Perbandingan!$B8,'Realisasi Hilirisasi'!G:G)/1000000000-K9</f>
        <v>2.2998410404044378</v>
      </c>
    </row>
    <row r="9" spans="2:14" x14ac:dyDescent="0.45">
      <c r="B9" s="52" t="s">
        <v>94</v>
      </c>
      <c r="C9" s="52" t="s">
        <v>102</v>
      </c>
      <c r="D9" s="90"/>
      <c r="E9" s="90">
        <v>0</v>
      </c>
      <c r="F9" s="89">
        <v>0</v>
      </c>
      <c r="G9" s="89">
        <v>0</v>
      </c>
      <c r="I9" s="90">
        <v>2868.6178</v>
      </c>
      <c r="J9" s="89"/>
      <c r="K9" s="89"/>
    </row>
    <row r="10" spans="2:14" x14ac:dyDescent="0.45">
      <c r="B10" s="52" t="s">
        <v>70</v>
      </c>
      <c r="C10" s="52" t="s">
        <v>102</v>
      </c>
      <c r="D10" s="90">
        <v>2259.6653999999999</v>
      </c>
      <c r="E10" s="90">
        <v>3445.019340024</v>
      </c>
      <c r="F10" s="89">
        <v>27.908812601640001</v>
      </c>
      <c r="G10" s="89">
        <v>2.385871184</v>
      </c>
      <c r="I10" s="90">
        <f>SUMIF('Realisasi Hilirisasi'!$D:$D,Perbandingan!$B10,'Realisasi Hilirisasi'!E:E)</f>
        <v>0</v>
      </c>
      <c r="J10" s="89">
        <f>SUMIF('Realisasi Hilirisasi'!$D:$D,Perbandingan!$B10,'Realisasi Hilirisasi'!F:F)/1000000000</f>
        <v>0</v>
      </c>
      <c r="K10" s="89">
        <f>SUMIF('Realisasi Hilirisasi'!$D:$D,Perbandingan!$B10,'Realisasi Hilirisasi'!G:G)/1000000000</f>
        <v>0</v>
      </c>
      <c r="N10" s="60" t="s">
        <v>12</v>
      </c>
    </row>
    <row r="11" spans="2:14" x14ac:dyDescent="0.45">
      <c r="B11" s="52" t="s">
        <v>13</v>
      </c>
      <c r="C11" s="52" t="s">
        <v>102</v>
      </c>
      <c r="D11" s="90"/>
      <c r="E11" s="90">
        <v>1931.4772825637588</v>
      </c>
      <c r="F11" s="89">
        <v>42.288444862499993</v>
      </c>
      <c r="G11" s="89">
        <v>3.0877235508611736</v>
      </c>
      <c r="I11" s="90">
        <f>SUMIF('Realisasi Hilirisasi'!$D:$D,Perbandingan!$B11,'Realisasi Hilirisasi'!E:E)</f>
        <v>1962.1940525822838</v>
      </c>
      <c r="J11" s="89">
        <f>SUMIF('Realisasi Hilirisasi'!$D:$D,Perbandingan!$B11,'Realisasi Hilirisasi'!F:F)/1000000000</f>
        <v>59.722105064055036</v>
      </c>
      <c r="K11" s="89">
        <f>SUMIF('Realisasi Hilirisasi'!$D:$D,Perbandingan!$B11,'Realisasi Hilirisasi'!G:G)/1000000000</f>
        <v>0.81948818784035615</v>
      </c>
      <c r="N11" s="60" t="s">
        <v>13</v>
      </c>
    </row>
    <row r="12" spans="2:14" x14ac:dyDescent="0.45">
      <c r="B12" s="52" t="s">
        <v>12</v>
      </c>
      <c r="C12" s="52" t="s">
        <v>102</v>
      </c>
      <c r="D12" s="90">
        <v>1429.0271600000001</v>
      </c>
      <c r="E12" s="90">
        <v>570.84672492576146</v>
      </c>
      <c r="F12" s="89">
        <v>12.971664468</v>
      </c>
      <c r="G12" s="89">
        <v>1.23162957867</v>
      </c>
      <c r="I12" s="90">
        <f>SUMIF('Realisasi Hilirisasi'!$D:$D,Perbandingan!$B12,'Realisasi Hilirisasi'!E:E)</f>
        <v>47.076559999999994</v>
      </c>
      <c r="J12" s="89">
        <f>SUMIF('Realisasi Hilirisasi'!$D:$D,Perbandingan!$B12,'Realisasi Hilirisasi'!F:F)/1000000000</f>
        <v>1.1010625759999999</v>
      </c>
      <c r="K12" s="89">
        <f>SUMIF('Realisasi Hilirisasi'!$D:$D,Perbandingan!$B12,'Realisasi Hilirisasi'!G:G)/1000000000</f>
        <v>9.3591919999999995E-2</v>
      </c>
      <c r="N12" s="60" t="s">
        <v>20</v>
      </c>
    </row>
    <row r="13" spans="2:14" x14ac:dyDescent="0.45">
      <c r="B13" s="52" t="s">
        <v>20</v>
      </c>
      <c r="C13" s="52" t="s">
        <v>102</v>
      </c>
      <c r="E13" s="90">
        <v>98.294528782608694</v>
      </c>
      <c r="F13" s="89">
        <v>2.8287370621999997</v>
      </c>
      <c r="G13" s="89">
        <v>0.24148131931</v>
      </c>
      <c r="I13" s="90">
        <f>SUMIF('Realisasi Hilirisasi'!$D:$D,Perbandingan!$B13,'Realisasi Hilirisasi'!E:E)</f>
        <v>21.700000000000003</v>
      </c>
      <c r="J13" s="89">
        <f>SUMIF('Realisasi Hilirisasi'!$D:$D,Perbandingan!$B13,'Realisasi Hilirisasi'!F:F)/1000000000</f>
        <v>0.69125000000000003</v>
      </c>
      <c r="K13" s="89">
        <f>SUMIF('Realisasi Hilirisasi'!$D:$D,Perbandingan!$B13,'Realisasi Hilirisasi'!G:G)/1000000000</f>
        <v>2.6349999999999998E-2</v>
      </c>
      <c r="N13" s="60" t="s">
        <v>32</v>
      </c>
    </row>
    <row r="14" spans="2:14" x14ac:dyDescent="0.45">
      <c r="B14" s="52" t="s">
        <v>65</v>
      </c>
      <c r="C14" s="52" t="s">
        <v>103</v>
      </c>
      <c r="E14" s="90">
        <v>4107.5749999999998</v>
      </c>
      <c r="F14" s="89">
        <v>63.716376296</v>
      </c>
      <c r="G14" s="89">
        <v>1.2418725939999999</v>
      </c>
      <c r="I14" s="90">
        <f>SUMIF('Realisasi Hilirisasi'!$D:$D,Perbandingan!$B14,'Realisasi Hilirisasi'!E:E)</f>
        <v>2303.9270000000001</v>
      </c>
      <c r="J14" s="89">
        <f>SUMIF('Realisasi Hilirisasi'!$D:$D,Perbandingan!$B14,'Realisasi Hilirisasi'!F:F)/1000000000</f>
        <v>41.300999150863269</v>
      </c>
      <c r="K14" s="89">
        <f>SUMIF('Realisasi Hilirisasi'!$D:$D,Perbandingan!$B14,'Realisasi Hilirisasi'!G:G)/1000000000</f>
        <v>1.253736127</v>
      </c>
      <c r="N14" s="60" t="s">
        <v>70</v>
      </c>
    </row>
    <row r="15" spans="2:14" x14ac:dyDescent="0.45">
      <c r="B15" s="60" t="s">
        <v>80</v>
      </c>
      <c r="C15" s="52" t="s">
        <v>103</v>
      </c>
      <c r="E15" s="90">
        <v>521.91</v>
      </c>
      <c r="F15" s="89">
        <v>9.1652500000000003</v>
      </c>
      <c r="G15" s="89">
        <v>0.64654363999999998</v>
      </c>
      <c r="I15" s="90">
        <f>SUMIF('Realisasi Hilirisasi'!$D:$D,Perbandingan!$B15,'Realisasi Hilirisasi'!E:E)</f>
        <v>0</v>
      </c>
      <c r="J15" s="89">
        <f>SUMIF('Realisasi Hilirisasi'!$D:$D,Perbandingan!$B15,'Realisasi Hilirisasi'!F:F)/1000000000</f>
        <v>0</v>
      </c>
      <c r="K15" s="89">
        <f>SUMIF('Realisasi Hilirisasi'!$D:$D,Perbandingan!$B15,'Realisasi Hilirisasi'!G:G)/1000000000</f>
        <v>0</v>
      </c>
      <c r="N15" s="60" t="s">
        <v>65</v>
      </c>
    </row>
    <row r="16" spans="2:14" x14ac:dyDescent="0.45">
      <c r="B16" s="52" t="s">
        <v>15</v>
      </c>
      <c r="C16" s="52" t="s">
        <v>103</v>
      </c>
      <c r="E16" s="90">
        <v>96</v>
      </c>
      <c r="F16" s="89">
        <v>6.9234732440000002</v>
      </c>
      <c r="G16" s="89">
        <v>0.60619037399999998</v>
      </c>
      <c r="I16" s="90">
        <f>SUMIF('Realisasi Hilirisasi'!$D:$D,Perbandingan!$B16,'Realisasi Hilirisasi'!E:E)</f>
        <v>112</v>
      </c>
      <c r="J16" s="89">
        <f>SUMIF('Realisasi Hilirisasi'!$D:$D,Perbandingan!$B16,'Realisasi Hilirisasi'!F:F)/1000000000</f>
        <v>8.7773616309999998</v>
      </c>
      <c r="K16" s="89">
        <f>SUMIF('Realisasi Hilirisasi'!$D:$D,Perbandingan!$B16,'Realisasi Hilirisasi'!G:G)/1000000000</f>
        <v>2.75485004</v>
      </c>
      <c r="N16" s="60" t="s">
        <v>80</v>
      </c>
    </row>
    <row r="17" spans="2:14" x14ac:dyDescent="0.45">
      <c r="B17" s="52" t="s">
        <v>104</v>
      </c>
      <c r="C17" s="52" t="s">
        <v>103</v>
      </c>
      <c r="E17" s="90">
        <v>0</v>
      </c>
      <c r="F17" s="89">
        <v>0</v>
      </c>
      <c r="G17" s="89">
        <v>0</v>
      </c>
      <c r="I17" s="90">
        <f>SUMIF('Realisasi Hilirisasi'!$D:$D,Perbandingan!$B17,'Realisasi Hilirisasi'!E:E)</f>
        <v>0</v>
      </c>
      <c r="J17" s="89">
        <f>SUMIF('Realisasi Hilirisasi'!$D:$D,Perbandingan!$B17,'Realisasi Hilirisasi'!F:F)/1000000000</f>
        <v>0</v>
      </c>
      <c r="K17" s="89">
        <f>SUMIF('Realisasi Hilirisasi'!$D:$D,Perbandingan!$B17,'Realisasi Hilirisasi'!G:G)/1000000000</f>
        <v>0</v>
      </c>
      <c r="N17" s="60" t="s">
        <v>15</v>
      </c>
    </row>
    <row r="18" spans="2:14" x14ac:dyDescent="0.45">
      <c r="B18" s="52" t="s">
        <v>66</v>
      </c>
      <c r="C18" s="52" t="s">
        <v>105</v>
      </c>
      <c r="E18" s="90">
        <v>5389.579857503285</v>
      </c>
      <c r="F18" s="89">
        <v>93.542065643000001</v>
      </c>
      <c r="G18" s="89">
        <v>1.5668388609999999</v>
      </c>
      <c r="I18" s="90">
        <f>SUMIF('Realisasi Hilirisasi'!$D:$D,Perbandingan!$B18,'Realisasi Hilirisasi'!E:E)</f>
        <v>3565.0795818995757</v>
      </c>
      <c r="J18" s="89">
        <f>SUMIF('Realisasi Hilirisasi'!$D:$D,Perbandingan!$B18,'Realisasi Hilirisasi'!F:F)/1000000000</f>
        <v>59.495082834839231</v>
      </c>
      <c r="K18" s="89">
        <f>SUMIF('Realisasi Hilirisasi'!$D:$D,Perbandingan!$B18,'Realisasi Hilirisasi'!G:G)/1000000000</f>
        <v>7.1631849893184754</v>
      </c>
      <c r="N18" s="60" t="s">
        <v>66</v>
      </c>
    </row>
    <row r="19" spans="2:14" x14ac:dyDescent="0.45">
      <c r="B19" s="52" t="s">
        <v>108</v>
      </c>
      <c r="C19" s="52" t="s">
        <v>105</v>
      </c>
      <c r="E19" s="90">
        <v>1707.0660651558985</v>
      </c>
      <c r="F19" s="89">
        <v>25.057072985876577</v>
      </c>
      <c r="G19" s="89">
        <v>-3.0966582606667042E-2</v>
      </c>
      <c r="I19" s="90">
        <f>SUMIF('Realisasi Hilirisasi'!$D:$D,Perbandingan!$B19,'Realisasi Hilirisasi'!E:E)</f>
        <v>2188.30231</v>
      </c>
      <c r="J19" s="89">
        <f>SUMIF('Realisasi Hilirisasi'!$D:$D,Perbandingan!$B19,'Realisasi Hilirisasi'!F:F)/1000000000</f>
        <v>27.064734070297863</v>
      </c>
      <c r="K19" s="89">
        <f>SUMIF('Realisasi Hilirisasi'!$D:$D,Perbandingan!$B19,'Realisasi Hilirisasi'!G:G)/1000000000</f>
        <v>6.5404580524568789</v>
      </c>
      <c r="N19" s="60" t="s">
        <v>82</v>
      </c>
    </row>
    <row r="20" spans="2:14" x14ac:dyDescent="0.45">
      <c r="B20" s="52" t="s">
        <v>69</v>
      </c>
      <c r="C20" s="52" t="s">
        <v>105</v>
      </c>
      <c r="E20" s="90">
        <v>210.3036048441015</v>
      </c>
      <c r="F20" s="89">
        <v>2.86094779</v>
      </c>
      <c r="G20" s="89">
        <v>0.71860751104009013</v>
      </c>
      <c r="I20" s="90">
        <f>SUMIF('Realisasi Hilirisasi'!$D:$D,Perbandingan!$B20,'Realisasi Hilirisasi'!E:E)</f>
        <v>0</v>
      </c>
      <c r="J20" s="89">
        <f>SUMIF('Realisasi Hilirisasi'!$D:$D,Perbandingan!$B20,'Realisasi Hilirisasi'!F:F)/1000000000</f>
        <v>0</v>
      </c>
      <c r="K20" s="89">
        <f>SUMIF('Realisasi Hilirisasi'!$D:$D,Perbandingan!$B20,'Realisasi Hilirisasi'!G:G)/1000000000</f>
        <v>0</v>
      </c>
      <c r="N20" s="60" t="s">
        <v>69</v>
      </c>
    </row>
    <row r="21" spans="2:14" x14ac:dyDescent="0.45">
      <c r="B21" s="52" t="s">
        <v>67</v>
      </c>
      <c r="C21" s="52" t="s">
        <v>105</v>
      </c>
      <c r="E21" s="90">
        <v>105.60914000000002</v>
      </c>
      <c r="F21" s="89">
        <v>1.4393960340630629</v>
      </c>
      <c r="G21" s="89">
        <v>9.8474004502739604E-2</v>
      </c>
      <c r="I21" s="90">
        <f>SUMIF('Realisasi Hilirisasi'!$D:$D,Perbandingan!$B21,'Realisasi Hilirisasi'!E:E)</f>
        <v>137.22239999999999</v>
      </c>
      <c r="J21" s="89">
        <f>SUMIF('Realisasi Hilirisasi'!$D:$D,Perbandingan!$B21,'Realisasi Hilirisasi'!F:F)/1000000000</f>
        <v>1.5468631827999999</v>
      </c>
      <c r="K21" s="89">
        <f>SUMIF('Realisasi Hilirisasi'!$D:$D,Perbandingan!$B21,'Realisasi Hilirisasi'!G:G)/1000000000</f>
        <v>0.17836118780000002</v>
      </c>
      <c r="N21" s="60" t="s">
        <v>67</v>
      </c>
    </row>
    <row r="22" spans="2:14" x14ac:dyDescent="0.45">
      <c r="B22" s="52" t="s">
        <v>68</v>
      </c>
      <c r="C22" s="52" t="s">
        <v>106</v>
      </c>
      <c r="E22" s="90">
        <v>3565.8</v>
      </c>
      <c r="F22" s="89">
        <v>67.465052991219878</v>
      </c>
      <c r="G22" s="89">
        <v>2.908602119648795</v>
      </c>
      <c r="I22" s="90">
        <f>SUMIF('Realisasi Hilirisasi'!$D:$D,Perbandingan!$B22,'Realisasi Hilirisasi'!E:E)</f>
        <v>0</v>
      </c>
      <c r="J22" s="89">
        <f>SUMIF('Realisasi Hilirisasi'!$D:$D,Perbandingan!$B22,'Realisasi Hilirisasi'!F:F)/1000000000</f>
        <v>0</v>
      </c>
      <c r="K22" s="89">
        <f>SUMIF('Realisasi Hilirisasi'!$D:$D,Perbandingan!$B22,'Realisasi Hilirisasi'!G:G)/1000000000</f>
        <v>0</v>
      </c>
      <c r="N22" s="60" t="s">
        <v>81</v>
      </c>
    </row>
    <row r="23" spans="2:14" x14ac:dyDescent="0.45">
      <c r="F23" s="89"/>
      <c r="G23" s="89"/>
      <c r="N23" s="60" t="s">
        <v>68</v>
      </c>
    </row>
    <row r="24" spans="2:14" x14ac:dyDescent="0.45">
      <c r="B24" s="93" t="s">
        <v>107</v>
      </c>
      <c r="C24" s="94"/>
      <c r="D24" s="94"/>
      <c r="E24" s="95">
        <f>SUM(E8:E23)</f>
        <v>25630.22244433553</v>
      </c>
      <c r="F24" s="96">
        <f t="shared" ref="F24:G24" si="0">SUM(F8:F23)</f>
        <v>377.89909413938949</v>
      </c>
      <c r="G24" s="96">
        <f t="shared" si="0"/>
        <v>16.243060997021708</v>
      </c>
      <c r="H24" s="94"/>
      <c r="I24" s="95">
        <f t="shared" ref="I24" si="1">SUM(I8:I23)</f>
        <v>13734.825685639755</v>
      </c>
      <c r="J24" s="96">
        <f t="shared" ref="J24" si="2">SUM(J8:J23)</f>
        <v>245.05216600965608</v>
      </c>
      <c r="K24" s="96">
        <f t="shared" ref="K24" si="3">SUM(K8:K23)</f>
        <v>21.129861544820152</v>
      </c>
    </row>
    <row r="26" spans="2:14" x14ac:dyDescent="0.45">
      <c r="C26" s="52" t="s">
        <v>102</v>
      </c>
      <c r="E26" s="90">
        <f>SUMIF($C$8:$C$23,$C26,$E$8:$E$23)</f>
        <v>9926.3787768322454</v>
      </c>
      <c r="I26" s="90">
        <f>SUMIF($C$8:$C$23,$C26,I$8:I$23)</f>
        <v>5428.2943937401787</v>
      </c>
    </row>
    <row r="27" spans="2:14" x14ac:dyDescent="0.45">
      <c r="C27" s="52" t="s">
        <v>103</v>
      </c>
      <c r="E27" s="90">
        <f t="shared" ref="E27:E29" si="4">SUMIF($C$8:$C$23,$C27,$E$8:$E$23)</f>
        <v>4725.4849999999997</v>
      </c>
      <c r="I27" s="90">
        <f t="shared" ref="I27:I29" si="5">SUMIF($C$8:$C$23,$C27,I$8:I$23)</f>
        <v>2415.9270000000001</v>
      </c>
    </row>
    <row r="28" spans="2:14" x14ac:dyDescent="0.45">
      <c r="C28" s="52" t="s">
        <v>105</v>
      </c>
      <c r="E28" s="90">
        <f t="shared" si="4"/>
        <v>7412.5586675032846</v>
      </c>
      <c r="I28" s="90">
        <f t="shared" si="5"/>
        <v>5890.6042918995754</v>
      </c>
    </row>
    <row r="29" spans="2:14" x14ac:dyDescent="0.45">
      <c r="C29" s="52" t="s">
        <v>106</v>
      </c>
      <c r="E29" s="90">
        <f t="shared" si="4"/>
        <v>3565.8</v>
      </c>
      <c r="I29" s="90">
        <f t="shared" si="5"/>
        <v>0</v>
      </c>
    </row>
    <row r="30" spans="2:14" x14ac:dyDescent="0.45">
      <c r="C30" s="91" t="s">
        <v>23</v>
      </c>
      <c r="D30" s="91"/>
      <c r="E30" s="92">
        <f>SUM(E26:E29)</f>
        <v>25630.222444335526</v>
      </c>
      <c r="I30" s="92">
        <f t="shared" ref="I30:K30" si="6">SUM(I26:I29)</f>
        <v>13734.825685639755</v>
      </c>
      <c r="J30" s="92">
        <f t="shared" si="6"/>
        <v>0</v>
      </c>
      <c r="K30" s="92">
        <f t="shared" si="6"/>
        <v>0</v>
      </c>
    </row>
  </sheetData>
  <mergeCells count="2">
    <mergeCell ref="I6:K6"/>
    <mergeCell ref="B6:B7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5117-0B3A-4773-8F1C-FBBB2CD6CE06}">
  <dimension ref="B3:AA42"/>
  <sheetViews>
    <sheetView showGridLines="0" topLeftCell="A19" zoomScale="110" zoomScaleNormal="110" workbookViewId="0">
      <selection activeCell="B3" sqref="B3:V30"/>
    </sheetView>
  </sheetViews>
  <sheetFormatPr defaultRowHeight="14.25" x14ac:dyDescent="0.45"/>
  <cols>
    <col min="2" max="2" width="3.3984375" customWidth="1"/>
    <col min="3" max="3" width="10.06640625" customWidth="1"/>
    <col min="4" max="4" width="6.6640625" bestFit="1" customWidth="1"/>
    <col min="5" max="5" width="6.73046875" bestFit="1" customWidth="1"/>
    <col min="6" max="6" width="6.9296875" bestFit="1" customWidth="1"/>
    <col min="7" max="7" width="6.59765625" bestFit="1" customWidth="1"/>
    <col min="8" max="8" width="7.19921875" bestFit="1" customWidth="1"/>
    <col min="9" max="9" width="6.73046875" bestFit="1" customWidth="1"/>
    <col min="10" max="10" width="6.3984375" bestFit="1" customWidth="1"/>
    <col min="11" max="11" width="7.06640625" bestFit="1" customWidth="1"/>
    <col min="12" max="12" width="6.9296875" bestFit="1" customWidth="1"/>
    <col min="13" max="13" width="6.53125" bestFit="1" customWidth="1"/>
    <col min="14" max="15" width="6.9296875" bestFit="1" customWidth="1"/>
    <col min="16" max="16" width="9.53125" bestFit="1" customWidth="1"/>
    <col min="17" max="17" width="5.3984375" hidden="1" customWidth="1"/>
    <col min="18" max="18" width="9.06640625" hidden="1" customWidth="1"/>
    <col min="19" max="19" width="13.59765625" hidden="1" customWidth="1"/>
    <col min="20" max="20" width="9.1328125" customWidth="1"/>
    <col min="21" max="21" width="7.53125" bestFit="1" customWidth="1"/>
    <col min="22" max="22" width="10.73046875" bestFit="1" customWidth="1"/>
    <col min="25" max="25" width="8.86328125" bestFit="1" customWidth="1"/>
    <col min="26" max="26" width="11.06640625" bestFit="1" customWidth="1"/>
    <col min="27" max="27" width="10.06640625" bestFit="1" customWidth="1"/>
  </cols>
  <sheetData>
    <row r="3" spans="2:22" x14ac:dyDescent="0.45">
      <c r="D3" s="5">
        <v>44927</v>
      </c>
      <c r="E3" s="5">
        <v>44958</v>
      </c>
      <c r="F3" s="5">
        <v>44986</v>
      </c>
      <c r="G3" s="5">
        <v>45017</v>
      </c>
      <c r="H3" s="5">
        <v>45047</v>
      </c>
      <c r="I3" s="5">
        <v>45078</v>
      </c>
      <c r="J3" s="5">
        <v>45108</v>
      </c>
      <c r="K3" s="5">
        <v>45139</v>
      </c>
      <c r="L3" s="5">
        <v>45170</v>
      </c>
      <c r="M3" s="5">
        <v>45200</v>
      </c>
      <c r="N3" s="5">
        <v>45231</v>
      </c>
      <c r="O3" s="5">
        <v>45261</v>
      </c>
      <c r="P3" s="5" t="s">
        <v>50</v>
      </c>
      <c r="Q3" s="5" t="s">
        <v>5</v>
      </c>
      <c r="R3" s="5">
        <v>45261</v>
      </c>
      <c r="S3" s="5" t="s">
        <v>50</v>
      </c>
      <c r="T3" s="5" t="s">
        <v>52</v>
      </c>
      <c r="U3" s="5" t="s">
        <v>51</v>
      </c>
      <c r="V3" s="5" t="s">
        <v>53</v>
      </c>
    </row>
    <row r="4" spans="2:22" x14ac:dyDescent="0.45">
      <c r="B4" s="29" t="s">
        <v>57</v>
      </c>
      <c r="C4" s="12"/>
    </row>
    <row r="5" spans="2:22" x14ac:dyDescent="0.45">
      <c r="B5" s="12"/>
      <c r="C5" s="11" t="s">
        <v>11</v>
      </c>
      <c r="D5" s="18">
        <f>'Steel Based Product'!F3-SUM(D6:D8)</f>
        <v>1777.42</v>
      </c>
      <c r="E5" s="18">
        <f>'Steel Based Product'!G3-SUM(E6:E8)</f>
        <v>2054.42</v>
      </c>
      <c r="F5" s="18">
        <f>'Steel Based Product'!H3-SUM(F6:F8)</f>
        <v>875.42000000000007</v>
      </c>
      <c r="G5" s="18">
        <f>'Steel Based Product'!I3-SUM(G6:G8)</f>
        <v>975.42000000000007</v>
      </c>
      <c r="H5" s="18">
        <f>'Steel Based Product'!J3-SUM(H6:H8)</f>
        <v>1463.92</v>
      </c>
      <c r="I5" s="18">
        <f>'Steel Based Product'!K3-SUM(I6:I8)</f>
        <v>2358.92</v>
      </c>
      <c r="J5" s="18">
        <f>'Steel Based Product'!L3-SUM(J6:J8)</f>
        <v>2434.42</v>
      </c>
      <c r="K5" s="18">
        <f>'Steel Based Product'!M3-SUM(K6:K8)</f>
        <v>2450</v>
      </c>
      <c r="L5" s="18">
        <f>'Steel Based Product'!N3-SUM(L6:L8)</f>
        <v>2450</v>
      </c>
      <c r="M5" s="18">
        <f>'Steel Based Product'!O3-SUM(M6:M8)</f>
        <v>2450</v>
      </c>
      <c r="N5" s="18">
        <v>1600.42</v>
      </c>
      <c r="O5" s="18">
        <v>1666.42</v>
      </c>
      <c r="P5" s="19">
        <f>SUM(D5:O5)</f>
        <v>22556.78</v>
      </c>
      <c r="Q5" s="19"/>
      <c r="R5" s="18"/>
      <c r="S5" s="19">
        <f>SUM(P5:R5)</f>
        <v>22556.78</v>
      </c>
    </row>
    <row r="6" spans="2:22" x14ac:dyDescent="0.45">
      <c r="B6" s="12"/>
      <c r="C6" s="11" t="s">
        <v>14</v>
      </c>
      <c r="D6" s="18">
        <v>500</v>
      </c>
      <c r="E6" s="18">
        <v>500</v>
      </c>
      <c r="F6" s="18">
        <v>500</v>
      </c>
      <c r="G6" s="18">
        <v>500</v>
      </c>
      <c r="H6" s="18">
        <v>500</v>
      </c>
      <c r="I6" s="18">
        <v>500</v>
      </c>
      <c r="J6" s="18">
        <v>500</v>
      </c>
      <c r="K6" s="18">
        <v>500</v>
      </c>
      <c r="L6" s="18">
        <v>500</v>
      </c>
      <c r="M6" s="18">
        <v>500</v>
      </c>
      <c r="N6" s="18">
        <v>500</v>
      </c>
      <c r="O6" s="18">
        <v>500</v>
      </c>
      <c r="P6" s="19">
        <f t="shared" ref="P6:P8" si="0">SUM(D6:O6)</f>
        <v>6000</v>
      </c>
      <c r="Q6" s="19"/>
      <c r="R6" s="18"/>
      <c r="S6" s="19">
        <f>SUM(P6:R6)</f>
        <v>6000</v>
      </c>
    </row>
    <row r="7" spans="2:22" x14ac:dyDescent="0.45">
      <c r="B7" s="12"/>
      <c r="C7" s="11" t="s">
        <v>16</v>
      </c>
      <c r="D7" s="18">
        <v>543</v>
      </c>
      <c r="E7" s="18">
        <v>543</v>
      </c>
      <c r="F7" s="18">
        <v>522</v>
      </c>
      <c r="G7" s="18">
        <v>397</v>
      </c>
      <c r="H7" s="18">
        <v>456.5</v>
      </c>
      <c r="I7" s="18">
        <v>463.5</v>
      </c>
      <c r="J7" s="18">
        <v>513</v>
      </c>
      <c r="K7" s="18">
        <v>522</v>
      </c>
      <c r="L7" s="18">
        <v>522</v>
      </c>
      <c r="M7" s="18">
        <v>522</v>
      </c>
      <c r="N7" s="18">
        <v>492</v>
      </c>
      <c r="O7" s="18">
        <v>426</v>
      </c>
      <c r="P7" s="19">
        <f t="shared" si="0"/>
        <v>5922</v>
      </c>
      <c r="Q7" s="19"/>
      <c r="R7" s="18"/>
      <c r="S7" s="19">
        <f>SUM(P7:R7)</f>
        <v>5922</v>
      </c>
    </row>
    <row r="8" spans="2:22" x14ac:dyDescent="0.45">
      <c r="B8" s="12"/>
      <c r="C8" s="11" t="s">
        <v>21</v>
      </c>
      <c r="D8" s="18">
        <v>157.58000000000001</v>
      </c>
      <c r="E8" s="18">
        <v>157.58000000000001</v>
      </c>
      <c r="F8" s="18">
        <v>157.58000000000001</v>
      </c>
      <c r="G8" s="18">
        <v>157.58000000000001</v>
      </c>
      <c r="H8" s="18">
        <v>157.58000000000001</v>
      </c>
      <c r="I8" s="18">
        <v>157.58000000000001</v>
      </c>
      <c r="J8" s="18">
        <v>157.58000000000001</v>
      </c>
      <c r="K8" s="18">
        <v>158</v>
      </c>
      <c r="L8" s="18">
        <v>158</v>
      </c>
      <c r="M8" s="18">
        <v>158</v>
      </c>
      <c r="N8" s="18">
        <v>157.58000000000001</v>
      </c>
      <c r="O8" s="18">
        <v>157.58000000000001</v>
      </c>
      <c r="P8" s="19">
        <f t="shared" si="0"/>
        <v>1892.22</v>
      </c>
      <c r="Q8" s="19"/>
      <c r="R8" s="18"/>
      <c r="S8" s="19">
        <f>SUM(P8:R8)</f>
        <v>1892.22</v>
      </c>
    </row>
    <row r="9" spans="2:22" x14ac:dyDescent="0.45">
      <c r="B9" s="46"/>
      <c r="C9" s="44" t="s">
        <v>22</v>
      </c>
      <c r="D9" s="45">
        <f>SUM(D5:D8)</f>
        <v>2978</v>
      </c>
      <c r="E9" s="45">
        <f t="shared" ref="E9:K9" si="1">SUM(E5:E8)</f>
        <v>3255</v>
      </c>
      <c r="F9" s="45">
        <f t="shared" si="1"/>
        <v>2055</v>
      </c>
      <c r="G9" s="45">
        <f t="shared" si="1"/>
        <v>2030</v>
      </c>
      <c r="H9" s="45">
        <f t="shared" si="1"/>
        <v>2578</v>
      </c>
      <c r="I9" s="45">
        <f t="shared" si="1"/>
        <v>3480</v>
      </c>
      <c r="J9" s="45">
        <f t="shared" si="1"/>
        <v>3605</v>
      </c>
      <c r="K9" s="45">
        <f t="shared" si="1"/>
        <v>3630</v>
      </c>
      <c r="L9" s="45">
        <f t="shared" ref="L9:S9" si="2">SUM(L5:L8)</f>
        <v>3630</v>
      </c>
      <c r="M9" s="45">
        <f t="shared" si="2"/>
        <v>3630</v>
      </c>
      <c r="N9" s="45">
        <f t="shared" si="2"/>
        <v>2750</v>
      </c>
      <c r="O9" s="45">
        <f t="shared" ref="O9" si="3">SUM(O5:O8)</f>
        <v>2750</v>
      </c>
      <c r="P9" s="45">
        <f t="shared" si="2"/>
        <v>36371</v>
      </c>
      <c r="Q9" s="45"/>
      <c r="R9" s="45"/>
      <c r="S9" s="45">
        <f t="shared" si="2"/>
        <v>36371</v>
      </c>
    </row>
    <row r="10" spans="2:22" x14ac:dyDescent="0.45">
      <c r="C10" s="41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spans="2:22" x14ac:dyDescent="0.45">
      <c r="B11" s="29" t="s">
        <v>64</v>
      </c>
      <c r="C11" s="11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2:22" x14ac:dyDescent="0.45">
      <c r="B12" s="12"/>
      <c r="C12" s="11" t="s">
        <v>11</v>
      </c>
      <c r="D12" s="18">
        <f>D5</f>
        <v>1777.42</v>
      </c>
      <c r="E12" s="18">
        <f t="shared" ref="E12:I12" si="4">E5</f>
        <v>2054.42</v>
      </c>
      <c r="F12" s="18">
        <f t="shared" si="4"/>
        <v>875.42000000000007</v>
      </c>
      <c r="G12" s="18">
        <f t="shared" si="4"/>
        <v>975.42000000000007</v>
      </c>
      <c r="H12" s="18">
        <f t="shared" si="4"/>
        <v>1463.92</v>
      </c>
      <c r="I12" s="18">
        <f t="shared" si="4"/>
        <v>2358.92</v>
      </c>
      <c r="J12" s="18">
        <v>750</v>
      </c>
      <c r="K12" s="18">
        <v>750</v>
      </c>
      <c r="L12" s="18">
        <v>500</v>
      </c>
      <c r="M12" s="18">
        <v>500</v>
      </c>
      <c r="N12" s="18">
        <v>650</v>
      </c>
      <c r="O12" s="18">
        <v>697</v>
      </c>
      <c r="P12" s="19">
        <f t="shared" ref="P12:P15" si="5">SUM(D12:O12)</f>
        <v>13352.52</v>
      </c>
      <c r="Q12" s="19"/>
      <c r="R12" s="18"/>
      <c r="S12" s="19">
        <f>SUM(P12:R12)</f>
        <v>13352.52</v>
      </c>
    </row>
    <row r="13" spans="2:22" x14ac:dyDescent="0.45">
      <c r="B13" s="12"/>
      <c r="C13" s="11" t="s">
        <v>14</v>
      </c>
      <c r="D13" s="18">
        <v>213.88888888888889</v>
      </c>
      <c r="E13" s="18">
        <v>356.48148148148141</v>
      </c>
      <c r="F13" s="18">
        <v>356.48148148148141</v>
      </c>
      <c r="G13" s="18">
        <v>356.48148148148141</v>
      </c>
      <c r="H13" s="18">
        <v>213.88888888888889</v>
      </c>
      <c r="I13" s="18">
        <v>356.48148148148141</v>
      </c>
      <c r="J13" s="18">
        <v>356.48148148148141</v>
      </c>
      <c r="K13" s="18">
        <v>500</v>
      </c>
      <c r="L13" s="18">
        <v>800</v>
      </c>
      <c r="M13" s="18">
        <v>800</v>
      </c>
      <c r="N13" s="18">
        <v>800</v>
      </c>
      <c r="O13" s="18">
        <v>800</v>
      </c>
      <c r="P13" s="19">
        <f t="shared" si="5"/>
        <v>5910.1851851851843</v>
      </c>
      <c r="Q13" s="19"/>
      <c r="R13" s="18"/>
      <c r="S13" s="19">
        <f>SUM(P13:R13)</f>
        <v>5910.1851851851843</v>
      </c>
    </row>
    <row r="14" spans="2:22" x14ac:dyDescent="0.45">
      <c r="B14" s="12"/>
      <c r="C14" s="11" t="s">
        <v>16</v>
      </c>
      <c r="D14" s="18">
        <v>543</v>
      </c>
      <c r="E14" s="18">
        <v>543</v>
      </c>
      <c r="F14" s="18">
        <v>522</v>
      </c>
      <c r="G14" s="18">
        <v>397</v>
      </c>
      <c r="H14" s="18">
        <v>456.5</v>
      </c>
      <c r="I14" s="18">
        <v>463.5</v>
      </c>
      <c r="J14" s="18">
        <v>513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9">
        <f t="shared" si="5"/>
        <v>5938</v>
      </c>
      <c r="Q14" s="19"/>
      <c r="R14" s="18"/>
      <c r="S14" s="19">
        <f>SUM(P14:R14)</f>
        <v>5938</v>
      </c>
    </row>
    <row r="15" spans="2:22" x14ac:dyDescent="0.45">
      <c r="B15" s="12"/>
      <c r="C15" s="11" t="s">
        <v>21</v>
      </c>
      <c r="D15" s="18">
        <v>80</v>
      </c>
      <c r="E15" s="18">
        <v>80</v>
      </c>
      <c r="F15" s="18">
        <v>80</v>
      </c>
      <c r="G15" s="18">
        <v>80</v>
      </c>
      <c r="H15" s="18">
        <v>80</v>
      </c>
      <c r="I15" s="18">
        <v>80</v>
      </c>
      <c r="J15" s="18">
        <v>157.58000000000001</v>
      </c>
      <c r="K15" s="18">
        <v>157.58000000000001</v>
      </c>
      <c r="L15" s="18">
        <v>157.58000000000001</v>
      </c>
      <c r="M15" s="18">
        <v>157.58000000000001</v>
      </c>
      <c r="N15" s="18">
        <v>157.58000000000001</v>
      </c>
      <c r="O15" s="18">
        <v>157.58000000000001</v>
      </c>
      <c r="P15" s="19">
        <f t="shared" si="5"/>
        <v>1425.48</v>
      </c>
      <c r="Q15" s="19"/>
      <c r="R15" s="18"/>
      <c r="S15" s="19">
        <f>SUM(P15:R15)</f>
        <v>1425.48</v>
      </c>
    </row>
    <row r="16" spans="2:22" x14ac:dyDescent="0.45">
      <c r="B16" s="46"/>
      <c r="C16" s="44" t="s">
        <v>22</v>
      </c>
      <c r="D16" s="45">
        <f>SUM(D12:D15)</f>
        <v>2614.3088888888888</v>
      </c>
      <c r="E16" s="45">
        <f t="shared" ref="E16" si="6">SUM(E12:E15)</f>
        <v>3033.9014814814814</v>
      </c>
      <c r="F16" s="45">
        <f t="shared" ref="F16" si="7">SUM(F12:F15)</f>
        <v>1833.9014814814814</v>
      </c>
      <c r="G16" s="45">
        <f t="shared" ref="G16" si="8">SUM(G12:G15)</f>
        <v>1808.9014814814814</v>
      </c>
      <c r="H16" s="45">
        <f t="shared" ref="H16" si="9">SUM(H12:H15)</f>
        <v>2214.3088888888888</v>
      </c>
      <c r="I16" s="45">
        <f t="shared" ref="I16:S16" si="10">SUM(I12:I15)</f>
        <v>3258.9014814814814</v>
      </c>
      <c r="J16" s="45">
        <f t="shared" si="10"/>
        <v>1777.0614814814812</v>
      </c>
      <c r="K16" s="45">
        <f t="shared" si="10"/>
        <v>1907.58</v>
      </c>
      <c r="L16" s="45">
        <f t="shared" si="10"/>
        <v>1957.58</v>
      </c>
      <c r="M16" s="45">
        <f t="shared" si="10"/>
        <v>1957.58</v>
      </c>
      <c r="N16" s="45">
        <f t="shared" si="10"/>
        <v>2107.58</v>
      </c>
      <c r="O16" s="45">
        <f t="shared" ref="O16" si="11">SUM(O12:O15)</f>
        <v>2154.58</v>
      </c>
      <c r="P16" s="45">
        <f t="shared" si="10"/>
        <v>26626.185185185186</v>
      </c>
      <c r="Q16" s="45"/>
      <c r="R16" s="45"/>
      <c r="S16" s="45">
        <f t="shared" si="10"/>
        <v>26626.185185185186</v>
      </c>
    </row>
    <row r="17" spans="2:25" x14ac:dyDescent="0.45">
      <c r="C17" s="41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</row>
    <row r="18" spans="2:25" x14ac:dyDescent="0.45">
      <c r="B18" s="29" t="s">
        <v>63</v>
      </c>
      <c r="C18" s="11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</row>
    <row r="19" spans="2:25" x14ac:dyDescent="0.45">
      <c r="B19" s="12"/>
      <c r="C19" s="11" t="s">
        <v>11</v>
      </c>
      <c r="D19" s="18">
        <f>'Per AP'!C10</f>
        <v>143.32434000000001</v>
      </c>
      <c r="E19" s="18">
        <f>'Per AP'!D10</f>
        <v>782.00073461184218</v>
      </c>
      <c r="F19" s="18">
        <f>'Per AP'!E10</f>
        <v>681.34312604440788</v>
      </c>
      <c r="G19" s="18">
        <f>'Per AP'!F10</f>
        <v>208.78669621875</v>
      </c>
      <c r="H19" s="18">
        <f>'Per AP'!G10</f>
        <v>592.86189842499994</v>
      </c>
      <c r="I19" s="18">
        <f>'Per AP'!H10</f>
        <v>-74.014672725000025</v>
      </c>
      <c r="J19" s="18">
        <f>'Per AP'!I10</f>
        <v>406.85826914285701</v>
      </c>
      <c r="K19" s="18">
        <f>'Per AP'!J10</f>
        <v>245.88915509374999</v>
      </c>
      <c r="L19" s="18">
        <f>'Per AP'!K10</f>
        <v>531.90940000000001</v>
      </c>
      <c r="M19" s="18">
        <f>'Per AP'!L10</f>
        <v>907.00824692857145</v>
      </c>
      <c r="N19" s="18">
        <f>'Per AP'!M10</f>
        <v>750.88160000000005</v>
      </c>
      <c r="O19" s="18">
        <f>'Per AP'!N10</f>
        <v>251.44560000000001</v>
      </c>
      <c r="P19" s="19">
        <f t="shared" ref="P19:P22" si="12">SUM(D19:O19)</f>
        <v>5428.2943937401787</v>
      </c>
      <c r="Q19" s="43">
        <f t="shared" ref="Q19:Q20" si="13">P19/P5</f>
        <v>0.24065023437477243</v>
      </c>
      <c r="R19" s="18">
        <v>1500</v>
      </c>
      <c r="S19" s="19">
        <f>SUM(R19:R19,P19)</f>
        <v>6928.2943937401787</v>
      </c>
      <c r="T19" s="42">
        <f>P19/$P5</f>
        <v>0.24065023437477243</v>
      </c>
      <c r="U19" s="18">
        <v>18157</v>
      </c>
      <c r="V19" s="13">
        <f t="shared" ref="V19:V21" si="14">P19/U19</f>
        <v>0.29896427789503655</v>
      </c>
    </row>
    <row r="20" spans="2:25" x14ac:dyDescent="0.45">
      <c r="B20" s="12"/>
      <c r="C20" s="11" t="s">
        <v>14</v>
      </c>
      <c r="D20" s="18">
        <f>'Per AP'!C11</f>
        <v>64</v>
      </c>
      <c r="E20" s="18">
        <f>'Per AP'!D11</f>
        <v>1293</v>
      </c>
      <c r="F20" s="18">
        <f>'Per AP'!E11</f>
        <v>366</v>
      </c>
      <c r="G20" s="18">
        <f>'Per AP'!F11</f>
        <v>80.334000000000003</v>
      </c>
      <c r="H20" s="18">
        <f>'Per AP'!G11</f>
        <v>1638.8990000000001</v>
      </c>
      <c r="I20" s="18">
        <f>'Per AP'!H11</f>
        <v>864.274</v>
      </c>
      <c r="J20" s="18">
        <f>'Per AP'!I11</f>
        <v>300</v>
      </c>
      <c r="K20" s="18">
        <f>'Per AP'!J11</f>
        <v>1340.5329999999999</v>
      </c>
      <c r="L20" s="18">
        <f>'Per AP'!K11</f>
        <v>98.74</v>
      </c>
      <c r="M20" s="18">
        <f>'Per AP'!L11</f>
        <v>2524.779</v>
      </c>
      <c r="N20" s="18">
        <f>'Per AP'!M11</f>
        <v>1560.36</v>
      </c>
      <c r="O20" s="18">
        <f>'Per AP'!N11</f>
        <v>3953.0210000000002</v>
      </c>
      <c r="P20" s="19">
        <f t="shared" si="12"/>
        <v>14083.940000000002</v>
      </c>
      <c r="Q20" s="43">
        <f t="shared" si="13"/>
        <v>2.3473233333333337</v>
      </c>
      <c r="R20" s="18">
        <v>600</v>
      </c>
      <c r="S20" s="19">
        <f>SUM(R20:R20,P20)</f>
        <v>14683.940000000002</v>
      </c>
      <c r="T20" s="42">
        <f t="shared" ref="T20:T22" si="15">P20/$P6</f>
        <v>2.3473233333333337</v>
      </c>
      <c r="U20" s="18">
        <v>1617</v>
      </c>
      <c r="V20" s="13">
        <f t="shared" si="14"/>
        <v>8.7099196042053197</v>
      </c>
    </row>
    <row r="21" spans="2:25" x14ac:dyDescent="0.45">
      <c r="B21" s="12"/>
      <c r="C21" s="11" t="s">
        <v>16</v>
      </c>
      <c r="D21" s="18">
        <f>'Per AP'!C12</f>
        <v>344.54044878878835</v>
      </c>
      <c r="E21" s="18">
        <f>'Per AP'!D12</f>
        <v>348.05116244011487</v>
      </c>
      <c r="F21" s="18">
        <f>'Per AP'!E12</f>
        <v>367.04059426004926</v>
      </c>
      <c r="G21" s="18">
        <f>'Per AP'!F12</f>
        <v>186.94335049999998</v>
      </c>
      <c r="H21" s="18">
        <f>'Per AP'!G12</f>
        <v>256.89910250000003</v>
      </c>
      <c r="I21" s="18">
        <f>'Per AP'!H12</f>
        <v>246.90428538022971</v>
      </c>
      <c r="J21" s="18">
        <f>'Per AP'!I12</f>
        <v>435.08390148954049</v>
      </c>
      <c r="K21" s="18">
        <f>'Per AP'!J12</f>
        <v>659.63899830024616</v>
      </c>
      <c r="L21" s="18">
        <f>'Per AP'!K12</f>
        <v>637.20504449999999</v>
      </c>
      <c r="M21" s="18">
        <f>'Per AP'!L12</f>
        <v>1083.0407552500001</v>
      </c>
      <c r="N21" s="18">
        <f>'Per AP'!M12</f>
        <v>1037.4828014906072</v>
      </c>
      <c r="O21" s="18">
        <f>'Per AP'!N12</f>
        <v>287.77384700000005</v>
      </c>
      <c r="P21" s="19">
        <f t="shared" si="12"/>
        <v>5890.6042918995772</v>
      </c>
      <c r="Q21" s="43">
        <f>P21/P7</f>
        <v>0.99469846198912149</v>
      </c>
      <c r="R21" s="18">
        <v>535</v>
      </c>
      <c r="S21" s="19">
        <f>SUM(R21:R21,P21)</f>
        <v>6425.6042918995772</v>
      </c>
      <c r="T21" s="42">
        <f t="shared" si="15"/>
        <v>0.99469846198912149</v>
      </c>
      <c r="U21" s="18">
        <v>5200</v>
      </c>
      <c r="V21" s="13">
        <f t="shared" si="14"/>
        <v>1.1328085176729956</v>
      </c>
    </row>
    <row r="22" spans="2:25" x14ac:dyDescent="0.45">
      <c r="B22" s="12"/>
      <c r="C22" s="11" t="s">
        <v>21</v>
      </c>
      <c r="D22" s="18">
        <f>'Per AP'!C13</f>
        <v>0</v>
      </c>
      <c r="E22" s="18">
        <f>'Per AP'!D13</f>
        <v>0</v>
      </c>
      <c r="F22" s="18">
        <f>'Per AP'!E13</f>
        <v>0</v>
      </c>
      <c r="G22" s="18">
        <f>'Per AP'!F13</f>
        <v>0</v>
      </c>
      <c r="H22" s="18">
        <f>'Per AP'!G13</f>
        <v>0</v>
      </c>
      <c r="I22" s="18">
        <f>'Per AP'!H13</f>
        <v>0</v>
      </c>
      <c r="J22" s="18">
        <f>'Per AP'!I13</f>
        <v>0</v>
      </c>
      <c r="K22" s="18">
        <f>'Per AP'!J13</f>
        <v>0</v>
      </c>
      <c r="L22" s="18">
        <f>'Per AP'!K13</f>
        <v>0</v>
      </c>
      <c r="M22" s="18">
        <f>'Per AP'!L13</f>
        <v>0</v>
      </c>
      <c r="N22" s="18">
        <f>'Per AP'!M13</f>
        <v>0</v>
      </c>
      <c r="O22" s="18">
        <f>'Per AP'!N13</f>
        <v>0</v>
      </c>
      <c r="P22" s="19">
        <f t="shared" si="12"/>
        <v>0</v>
      </c>
      <c r="Q22" s="43">
        <f t="shared" ref="Q22:Q23" si="16">P22/P8</f>
        <v>0</v>
      </c>
      <c r="R22" s="18">
        <v>40</v>
      </c>
      <c r="S22" s="19">
        <f>SUM(R22:R22,P22)</f>
        <v>40</v>
      </c>
      <c r="T22" s="42">
        <f t="shared" si="15"/>
        <v>0</v>
      </c>
      <c r="U22" s="18">
        <v>2757</v>
      </c>
      <c r="V22" s="13">
        <f>P22/U22</f>
        <v>0</v>
      </c>
    </row>
    <row r="23" spans="2:25" x14ac:dyDescent="0.45">
      <c r="B23" s="46"/>
      <c r="C23" s="44" t="s">
        <v>22</v>
      </c>
      <c r="D23" s="45">
        <f>SUM(D19:D22)</f>
        <v>551.86478878878836</v>
      </c>
      <c r="E23" s="45">
        <f t="shared" ref="E23" si="17">SUM(E19:E22)</f>
        <v>2423.051897051957</v>
      </c>
      <c r="F23" s="45">
        <f t="shared" ref="F23" si="18">SUM(F19:F22)</f>
        <v>1414.3837203044573</v>
      </c>
      <c r="G23" s="45">
        <f t="shared" ref="G23" si="19">SUM(G19:G22)</f>
        <v>476.06404671874998</v>
      </c>
      <c r="H23" s="45">
        <f t="shared" ref="H23" si="20">SUM(H19:H22)</f>
        <v>2488.6600009250001</v>
      </c>
      <c r="I23" s="45">
        <f t="shared" ref="I23:K23" si="21">SUM(I19:I22)</f>
        <v>1037.1636126552298</v>
      </c>
      <c r="J23" s="45">
        <f t="shared" si="21"/>
        <v>1141.9421706323974</v>
      </c>
      <c r="K23" s="45">
        <f t="shared" si="21"/>
        <v>2246.0611533939964</v>
      </c>
      <c r="L23" s="45">
        <f t="shared" ref="L23:P23" si="22">SUM(L19:L22)</f>
        <v>1267.8544445</v>
      </c>
      <c r="M23" s="45">
        <f t="shared" si="22"/>
        <v>4514.8280021785713</v>
      </c>
      <c r="N23" s="45">
        <f t="shared" ref="N23:O23" si="23">SUM(N19:N22)</f>
        <v>3348.7244014906073</v>
      </c>
      <c r="O23" s="45">
        <f t="shared" si="23"/>
        <v>4492.2404470000001</v>
      </c>
      <c r="P23" s="45">
        <f t="shared" si="22"/>
        <v>25402.838685639759</v>
      </c>
      <c r="Q23" s="47">
        <f t="shared" si="16"/>
        <v>0.69843663043742976</v>
      </c>
      <c r="R23" s="45">
        <f t="shared" ref="R23" si="24">SUM(R19:R22)</f>
        <v>2675</v>
      </c>
      <c r="S23" s="45">
        <f t="shared" ref="S23:U23" si="25">SUM(S19:S22)</f>
        <v>28077.838685639759</v>
      </c>
      <c r="T23" s="47">
        <f>P23/$P9</f>
        <v>0.69843663043742976</v>
      </c>
      <c r="U23" s="45">
        <f t="shared" si="25"/>
        <v>27731</v>
      </c>
      <c r="V23" s="48">
        <f>P23/U23</f>
        <v>0.91604481214668632</v>
      </c>
    </row>
    <row r="24" spans="2:25" x14ac:dyDescent="0.45"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42"/>
      <c r="Q24" s="42"/>
      <c r="R24" s="18"/>
      <c r="S24" s="18"/>
    </row>
    <row r="25" spans="2:25" x14ac:dyDescent="0.45">
      <c r="B25" s="29" t="s">
        <v>62</v>
      </c>
      <c r="C25" s="11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</row>
    <row r="26" spans="2:25" x14ac:dyDescent="0.45">
      <c r="B26" s="12"/>
      <c r="C26" s="11" t="s">
        <v>11</v>
      </c>
      <c r="D26" s="18">
        <f>D19</f>
        <v>143.32434000000001</v>
      </c>
      <c r="E26" s="18">
        <f t="shared" ref="E26:O26" si="26">E19</f>
        <v>782.00073461184218</v>
      </c>
      <c r="F26" s="18">
        <f t="shared" si="26"/>
        <v>681.34312604440788</v>
      </c>
      <c r="G26" s="18">
        <f t="shared" si="26"/>
        <v>208.78669621875</v>
      </c>
      <c r="H26" s="18">
        <f t="shared" si="26"/>
        <v>592.86189842499994</v>
      </c>
      <c r="I26" s="18">
        <f t="shared" si="26"/>
        <v>-74.014672725000025</v>
      </c>
      <c r="J26" s="18">
        <f t="shared" si="26"/>
        <v>406.85826914285701</v>
      </c>
      <c r="K26" s="18">
        <f t="shared" si="26"/>
        <v>245.88915509374999</v>
      </c>
      <c r="L26" s="18">
        <f t="shared" si="26"/>
        <v>531.90940000000001</v>
      </c>
      <c r="M26" s="18">
        <f t="shared" si="26"/>
        <v>907.00824692857145</v>
      </c>
      <c r="N26" s="18">
        <f t="shared" si="26"/>
        <v>750.88160000000005</v>
      </c>
      <c r="O26" s="18">
        <f t="shared" si="26"/>
        <v>251.44560000000001</v>
      </c>
      <c r="P26" s="19">
        <f t="shared" ref="P26:P29" si="27">SUM(D26:O26)</f>
        <v>5428.2943937401787</v>
      </c>
      <c r="Q26" s="19"/>
      <c r="R26" s="18">
        <v>1100</v>
      </c>
      <c r="S26" s="19">
        <f>SUM(P26:R26)</f>
        <v>6528.2943937401787</v>
      </c>
      <c r="T26" s="42">
        <f>P26/$P12</f>
        <v>0.40653707268292266</v>
      </c>
      <c r="U26" s="18">
        <v>18157</v>
      </c>
      <c r="V26" s="13">
        <f t="shared" ref="V26:V28" si="28">P26/U26</f>
        <v>0.29896427789503655</v>
      </c>
    </row>
    <row r="27" spans="2:25" x14ac:dyDescent="0.45">
      <c r="B27" s="12"/>
      <c r="C27" s="11" t="s">
        <v>14</v>
      </c>
      <c r="D27" s="18">
        <f t="shared" ref="D27" si="29">D20</f>
        <v>64</v>
      </c>
      <c r="E27" s="18">
        <f t="shared" ref="E27:O27" si="30">E20</f>
        <v>1293</v>
      </c>
      <c r="F27" s="18">
        <f t="shared" si="30"/>
        <v>366</v>
      </c>
      <c r="G27" s="18">
        <f t="shared" si="30"/>
        <v>80.334000000000003</v>
      </c>
      <c r="H27" s="18">
        <f t="shared" si="30"/>
        <v>1638.8990000000001</v>
      </c>
      <c r="I27" s="18">
        <f t="shared" si="30"/>
        <v>864.274</v>
      </c>
      <c r="J27" s="18">
        <f t="shared" si="30"/>
        <v>300</v>
      </c>
      <c r="K27" s="18">
        <f t="shared" si="30"/>
        <v>1340.5329999999999</v>
      </c>
      <c r="L27" s="18">
        <f t="shared" si="30"/>
        <v>98.74</v>
      </c>
      <c r="M27" s="18">
        <f t="shared" si="30"/>
        <v>2524.779</v>
      </c>
      <c r="N27" s="18">
        <f t="shared" si="30"/>
        <v>1560.36</v>
      </c>
      <c r="O27" s="18">
        <f t="shared" si="30"/>
        <v>3953.0210000000002</v>
      </c>
      <c r="P27" s="19">
        <f t="shared" si="27"/>
        <v>14083.940000000002</v>
      </c>
      <c r="Q27" s="19"/>
      <c r="R27" s="18">
        <v>500</v>
      </c>
      <c r="S27" s="19">
        <f>SUM(P27:R27)</f>
        <v>14583.940000000002</v>
      </c>
      <c r="T27" s="42">
        <f t="shared" ref="T27:T29" si="31">P27/$P13</f>
        <v>2.3829947046843185</v>
      </c>
      <c r="U27" s="18">
        <v>1617</v>
      </c>
      <c r="V27" s="13">
        <f t="shared" si="28"/>
        <v>8.7099196042053197</v>
      </c>
    </row>
    <row r="28" spans="2:25" x14ac:dyDescent="0.45">
      <c r="B28" s="12"/>
      <c r="C28" s="11" t="s">
        <v>16</v>
      </c>
      <c r="D28" s="18">
        <f t="shared" ref="D28" si="32">D21</f>
        <v>344.54044878878835</v>
      </c>
      <c r="E28" s="18">
        <f t="shared" ref="E28:O28" si="33">E21</f>
        <v>348.05116244011487</v>
      </c>
      <c r="F28" s="18">
        <f t="shared" si="33"/>
        <v>367.04059426004926</v>
      </c>
      <c r="G28" s="18">
        <f t="shared" si="33"/>
        <v>186.94335049999998</v>
      </c>
      <c r="H28" s="18">
        <f t="shared" si="33"/>
        <v>256.89910250000003</v>
      </c>
      <c r="I28" s="18">
        <f t="shared" si="33"/>
        <v>246.90428538022971</v>
      </c>
      <c r="J28" s="18">
        <f t="shared" si="33"/>
        <v>435.08390148954049</v>
      </c>
      <c r="K28" s="18">
        <f t="shared" si="33"/>
        <v>659.63899830024616</v>
      </c>
      <c r="L28" s="18">
        <f t="shared" si="33"/>
        <v>637.20504449999999</v>
      </c>
      <c r="M28" s="18">
        <f t="shared" si="33"/>
        <v>1083.0407552500001</v>
      </c>
      <c r="N28" s="18">
        <f t="shared" si="33"/>
        <v>1037.4828014906072</v>
      </c>
      <c r="O28" s="18">
        <f t="shared" si="33"/>
        <v>287.77384700000005</v>
      </c>
      <c r="P28" s="19">
        <f t="shared" si="27"/>
        <v>5890.6042918995772</v>
      </c>
      <c r="Q28" s="19"/>
      <c r="R28" s="18">
        <v>481.5</v>
      </c>
      <c r="S28" s="19">
        <f>SUM(P28:R28)</f>
        <v>6372.1042918995772</v>
      </c>
      <c r="T28" s="42">
        <f t="shared" si="31"/>
        <v>0.99201823709996251</v>
      </c>
      <c r="U28" s="18">
        <v>5200</v>
      </c>
      <c r="V28" s="13">
        <f t="shared" si="28"/>
        <v>1.1328085176729956</v>
      </c>
    </row>
    <row r="29" spans="2:25" x14ac:dyDescent="0.45">
      <c r="B29" s="12"/>
      <c r="C29" s="11" t="s">
        <v>21</v>
      </c>
      <c r="D29" s="18">
        <f t="shared" ref="D29" si="34">D22</f>
        <v>0</v>
      </c>
      <c r="E29" s="18">
        <f t="shared" ref="E29:O29" si="35">E22</f>
        <v>0</v>
      </c>
      <c r="F29" s="18">
        <f t="shared" si="35"/>
        <v>0</v>
      </c>
      <c r="G29" s="18">
        <f t="shared" si="35"/>
        <v>0</v>
      </c>
      <c r="H29" s="18">
        <f t="shared" si="35"/>
        <v>0</v>
      </c>
      <c r="I29" s="18">
        <f t="shared" si="35"/>
        <v>0</v>
      </c>
      <c r="J29" s="18">
        <f t="shared" si="35"/>
        <v>0</v>
      </c>
      <c r="K29" s="18">
        <f t="shared" si="35"/>
        <v>0</v>
      </c>
      <c r="L29" s="18">
        <f t="shared" si="35"/>
        <v>0</v>
      </c>
      <c r="M29" s="18">
        <f t="shared" si="35"/>
        <v>0</v>
      </c>
      <c r="N29" s="18">
        <f t="shared" si="35"/>
        <v>0</v>
      </c>
      <c r="O29" s="18">
        <f t="shared" si="35"/>
        <v>0</v>
      </c>
      <c r="P29" s="19">
        <f t="shared" si="27"/>
        <v>0</v>
      </c>
      <c r="Q29" s="19"/>
      <c r="R29" s="18">
        <v>92.58</v>
      </c>
      <c r="S29" s="19">
        <f>SUM(P29:R29)</f>
        <v>92.58</v>
      </c>
      <c r="T29" s="42">
        <f t="shared" si="31"/>
        <v>0</v>
      </c>
      <c r="U29" s="18">
        <v>2757</v>
      </c>
      <c r="V29" s="13">
        <f>P29/U29</f>
        <v>0</v>
      </c>
    </row>
    <row r="30" spans="2:25" x14ac:dyDescent="0.45">
      <c r="B30" s="46"/>
      <c r="C30" s="44" t="s">
        <v>22</v>
      </c>
      <c r="D30" s="45">
        <f>SUM(D26:D29)</f>
        <v>551.86478878878836</v>
      </c>
      <c r="E30" s="45">
        <f t="shared" ref="E30:O30" si="36">SUM(E26:E29)</f>
        <v>2423.051897051957</v>
      </c>
      <c r="F30" s="45">
        <f t="shared" si="36"/>
        <v>1414.3837203044573</v>
      </c>
      <c r="G30" s="45">
        <f t="shared" si="36"/>
        <v>476.06404671874998</v>
      </c>
      <c r="H30" s="45">
        <f t="shared" si="36"/>
        <v>2488.6600009250001</v>
      </c>
      <c r="I30" s="45">
        <f t="shared" si="36"/>
        <v>1037.1636126552298</v>
      </c>
      <c r="J30" s="45">
        <f t="shared" si="36"/>
        <v>1141.9421706323974</v>
      </c>
      <c r="K30" s="45">
        <f t="shared" si="36"/>
        <v>2246.0611533939964</v>
      </c>
      <c r="L30" s="45">
        <f t="shared" si="36"/>
        <v>1267.8544445</v>
      </c>
      <c r="M30" s="45">
        <f t="shared" si="36"/>
        <v>4514.8280021785713</v>
      </c>
      <c r="N30" s="45">
        <f t="shared" si="36"/>
        <v>3348.7244014906073</v>
      </c>
      <c r="O30" s="45">
        <f t="shared" si="36"/>
        <v>4492.2404470000001</v>
      </c>
      <c r="P30" s="45">
        <f t="shared" ref="P30" si="37">SUM(P26:P29)</f>
        <v>25402.838685639759</v>
      </c>
      <c r="Q30" s="45"/>
      <c r="R30" s="45">
        <f t="shared" ref="R30" si="38">SUM(R26:R29)</f>
        <v>2174.08</v>
      </c>
      <c r="S30" s="45">
        <f t="shared" ref="S30" si="39">SUM(S26:S29)</f>
        <v>27576.918685639761</v>
      </c>
      <c r="T30" s="47">
        <f>P30/$P16</f>
        <v>0.95405475883844981</v>
      </c>
      <c r="U30" s="45">
        <f t="shared" ref="U30" si="40">SUM(U26:U29)</f>
        <v>27731</v>
      </c>
      <c r="V30" s="48">
        <f>P30/U30</f>
        <v>0.91604481214668632</v>
      </c>
      <c r="X30">
        <f>20000/6000</f>
        <v>3.3333333333333335</v>
      </c>
    </row>
    <row r="31" spans="2:25" x14ac:dyDescent="0.45"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spans="2:25" x14ac:dyDescent="0.45"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U32">
        <f>6000</f>
        <v>6000</v>
      </c>
      <c r="W32" t="s">
        <v>47</v>
      </c>
      <c r="X32">
        <f>1500</f>
        <v>1500</v>
      </c>
      <c r="Y32">
        <f>X32*0.233</f>
        <v>349.5</v>
      </c>
    </row>
    <row r="33" spans="4:27" x14ac:dyDescent="0.45"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>
        <f>P26/7</f>
        <v>775.47062767716841</v>
      </c>
      <c r="Q33" s="18"/>
      <c r="R33" s="18"/>
      <c r="S33" s="18"/>
      <c r="Y33">
        <f>U32-Y32</f>
        <v>5650.5</v>
      </c>
    </row>
    <row r="34" spans="4:27" x14ac:dyDescent="0.45">
      <c r="P34" s="15"/>
      <c r="S34" s="40">
        <f>S30-P30</f>
        <v>2174.0800000000017</v>
      </c>
    </row>
    <row r="35" spans="4:27" x14ac:dyDescent="0.45">
      <c r="S35" t="e">
        <f>'Realisasi Hilirisasi'!P226/'Realisasi Hilirisasi'!O226</f>
        <v>#DIV/0!</v>
      </c>
      <c r="W35">
        <v>9000</v>
      </c>
    </row>
    <row r="36" spans="4:27" x14ac:dyDescent="0.45">
      <c r="S36" s="15">
        <f>S34*15000</f>
        <v>32611200.000000026</v>
      </c>
      <c r="Y36" s="18"/>
      <c r="Z36" s="18"/>
      <c r="AA36" s="18"/>
    </row>
    <row r="37" spans="4:27" x14ac:dyDescent="0.45">
      <c r="S37">
        <f>160+209.8</f>
        <v>369.8</v>
      </c>
      <c r="Y37" s="18"/>
      <c r="Z37" s="18"/>
      <c r="AA37" s="18"/>
    </row>
    <row r="38" spans="4:27" x14ac:dyDescent="0.45">
      <c r="Y38" s="18"/>
      <c r="Z38" s="18"/>
      <c r="AA38" s="18"/>
    </row>
    <row r="39" spans="4:27" x14ac:dyDescent="0.45">
      <c r="Y39" s="18">
        <f>100</f>
        <v>100</v>
      </c>
      <c r="Z39" s="18">
        <f>Y39*3000</f>
        <v>300000</v>
      </c>
      <c r="AA39" s="18">
        <f>Z39*0.233</f>
        <v>69900</v>
      </c>
    </row>
    <row r="40" spans="4:27" x14ac:dyDescent="0.45">
      <c r="Y40" s="18"/>
      <c r="Z40" s="18"/>
      <c r="AA40" s="18"/>
    </row>
    <row r="41" spans="4:27" x14ac:dyDescent="0.45">
      <c r="Y41" s="18"/>
      <c r="Z41" s="18"/>
      <c r="AA41" s="18"/>
    </row>
    <row r="42" spans="4:27" x14ac:dyDescent="0.45">
      <c r="Y42" s="18"/>
      <c r="Z42" s="18"/>
      <c r="AA42" s="1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Steel Based Product</vt:lpstr>
      <vt:lpstr>Realisasi Hilirisasi</vt:lpstr>
      <vt:lpstr>Resume</vt:lpstr>
      <vt:lpstr>Per AP</vt:lpstr>
      <vt:lpstr>Target Hilirisasi 2025</vt:lpstr>
      <vt:lpstr>Perbandingan</vt:lpstr>
      <vt:lpstr>Per AP#2</vt:lpstr>
      <vt:lpstr>Perbandingan!Print_Area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budi.santoso</dc:creator>
  <cp:lastModifiedBy>Suryo Nugroho</cp:lastModifiedBy>
  <cp:lastPrinted>2024-10-23T03:01:51Z</cp:lastPrinted>
  <dcterms:created xsi:type="dcterms:W3CDTF">2023-02-21T01:31:14Z</dcterms:created>
  <dcterms:modified xsi:type="dcterms:W3CDTF">2026-02-23T21:42:20Z</dcterms:modified>
</cp:coreProperties>
</file>