
<file path=[Content_Types].xml><?xml version="1.0" encoding="utf-8"?>
<Types xmlns="http://schemas.openxmlformats.org/package/2006/content-types">
  <Override PartName="/xl/pivotTables/pivotTable6.xml" ContentType="application/vnd.openxmlformats-officedocument.spreadsheetml.pivotTable+xml"/>
  <Override PartName="/xl/charts/chart6.xml" ContentType="application/vnd.openxmlformats-officedocument.drawingml.chart+xml"/>
  <Override PartName="/xl/slicerCaches/slicerCache4.xml" ContentType="application/vnd.ms-excel.slicerCache+xml"/>
  <Default Extension="svg" ContentType="image/svg+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tables/table2.xml" ContentType="application/vnd.openxmlformats-officedocument.spreadsheetml.table+xml"/>
  <Override PartName="/xl/pivotTables/pivotTable4.xml" ContentType="application/vnd.openxmlformats-officedocument.spreadsheetml.pivotTable+xml"/>
  <Override PartName="/xl/charts/chart4.xml" ContentType="application/vnd.openxmlformats-officedocument.drawingml.chart+xml"/>
  <Override PartName="/xl/slicerCaches/slicerCache2.xml" ContentType="application/vnd.ms-excel.slicerCache+xml"/>
  <Override PartName="/xl/externalLinks/externalLink7.xml" ContentType="application/vnd.openxmlformats-officedocument.spreadsheetml.externalLink+xml"/>
  <Override PartName="/xl/pivotTables/pivotTable2.xml" ContentType="application/vnd.openxmlformats-officedocument.spreadsheetml.pivotTable+xml"/>
  <Override PartName="/xl/charts/chart2.xml" ContentType="application/vnd.openxmlformats-officedocument.drawingml.chart+xml"/>
  <Default Extension="rels" ContentType="application/vnd.openxmlformats-package.relationships+xml"/>
  <Default Extension="xml" ContentType="application/xml"/>
  <Override PartName="/xl/worksheets/sheet5.xml" ContentType="application/vnd.openxmlformats-officedocument.spreadsheetml.worksheet+xml"/>
  <Override PartName="/xl/externalLinks/externalLink5.xml" ContentType="application/vnd.openxmlformats-officedocument.spreadsheetml.externalLink+xml"/>
  <Override PartName="/xl/drawings/drawing2.xml" ContentType="application/vnd.openxmlformats-officedocument.drawing+xml"/>
  <Override PartName="/xl/charts/style2.xml" ContentType="application/vnd.ms-office.chartstyle+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drawings/drawing1.xml" ContentType="application/vnd.openxmlformats-officedocument.drawing+xml"/>
  <Default Extension="wdp" ContentType="image/vnd.ms-photo"/>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pivotCache/pivotCacheDefinition1.xml" ContentType="application/vnd.openxmlformats-officedocument.spreadsheetml.pivotCacheDefinition+xml"/>
  <Default Extension="vml" ContentType="application/vnd.openxmlformats-officedocument.vmlDrawing"/>
  <Override PartName="/xl/calcChain.xml" ContentType="application/vnd.openxmlformats-officedocument.spreadsheetml.calcChain+xml"/>
  <Override PartName="/xl/externalLinks/externalLink10.xml" ContentType="application/vnd.openxmlformats-officedocument.spreadsheetml.externalLink+xml"/>
  <Override PartName="/xl/sharedStrings.xml" ContentType="application/vnd.openxmlformats-officedocument.spreadsheetml.sharedStrings+xml"/>
  <Override PartName="/xl/charts/colors3.xml" ContentType="application/vnd.ms-office.chartcolorstyle+xml"/>
  <Override PartName="/xl/ctrlProps/ctrlProp3.xml" ContentType="application/vnd.ms-excel.controlproperties+xml"/>
  <Override PartName="/xl/charts/colors2.xml" ContentType="application/vnd.ms-office.chartcolorstyle+xml"/>
  <Override PartName="/xl/pivotCache/pivotCacheRecords1.xml" ContentType="application/vnd.openxmlformats-officedocument.spreadsheetml.pivotCacheRecords+xml"/>
  <Override PartName="/xl/pivotTables/pivotTable7.xml" ContentType="application/vnd.openxmlformats-officedocument.spreadsheetml.pivotTable+xml"/>
  <Override PartName="/xl/charts/chart8.xml" ContentType="application/vnd.openxmlformats-officedocument.drawingml.chart+xml"/>
  <Override PartName="/xl/charts/chart9.xml" ContentType="application/vnd.openxmlformats-officedocument.drawingml.chart+xml"/>
  <Override PartName="/xl/slicers/slicer1.xml" ContentType="application/vnd.ms-excel.slicer+xml"/>
  <Override PartName="/xl/slicers/slicer2.xml" ContentType="application/vnd.ms-excel.slicer+xml"/>
  <Override PartName="/xl/ctrlProps/ctrlProp2.xml" ContentType="application/vnd.ms-excel.controlproperties+xml"/>
  <Override PartName="/xl/ctrlProps/ctrlProp1.xml" ContentType="application/vnd.ms-excel.controlproperties+xml"/>
  <Override PartName="/xl/charts/colors1.xml" ContentType="application/vnd.ms-office.chartcolorstyle+xml"/>
  <Override PartName="/docProps/core.xml" ContentType="application/vnd.openxmlformats-package.core-properties+xml"/>
  <Default Extension="bin" ContentType="application/vnd.openxmlformats-officedocument.spreadsheetml.printerSettings"/>
  <Override PartName="/xl/pivotTables/pivotTable5.xml" ContentType="application/vnd.openxmlformats-officedocument.spreadsheetml.pivotTable+xml"/>
  <Default Extension="png" ContentType="image/png"/>
  <Override PartName="/xl/charts/chart7.xml" ContentType="application/vnd.openxmlformats-officedocument.drawingml.chart+xml"/>
  <Override PartName="/xl/slicerCaches/slicerCache3.xml" ContentType="application/vnd.ms-excel.slicerCache+xml"/>
  <Override PartName="/xl/externalLinks/externalLink8.xml" ContentType="application/vnd.openxmlformats-officedocument.spreadsheetml.externalLink+xml"/>
  <Override PartName="/xl/tables/table1.xml" ContentType="application/vnd.openxmlformats-officedocument.spreadsheetml.table+xml"/>
  <Override PartName="/xl/pivotTables/pivotTable3.xml" ContentType="application/vnd.openxmlformats-officedocument.spreadsheetml.pivotTable+xml"/>
  <Override PartName="/xl/charts/chart5.xml" ContentType="application/vnd.openxmlformats-officedocument.drawingml.chart+xml"/>
  <Override PartName="/xl/slicerCaches/slicerCache1.xml" ContentType="application/vnd.ms-excel.slicerCache+xml"/>
  <Override PartName="/xl/externalLinks/externalLink6.xml" ContentType="application/vnd.openxmlformats-officedocument.spreadsheetml.externalLink+xml"/>
  <Default Extension="jpeg" ContentType="image/jpeg"/>
  <Override PartName="/xl/pivotTables/pivotTable1.xml" ContentType="application/vnd.openxmlformats-officedocument.spreadsheetml.pivotTable+xml"/>
  <Override PartName="/xl/charts/chart3.xml" ContentType="application/vnd.openxmlformats-officedocument.drawingml.chart+xml"/>
  <Override PartName="/xl/workbook.xml" ContentType="application/vnd.openxmlformats-officedocument.spreadsheetml.sheet.main+xml"/>
  <Override PartName="/xl/worksheets/sheet4.xml" ContentType="application/vnd.openxmlformats-officedocument.spreadsheetml.worksheet+xml"/>
  <Override PartName="/xl/externalLinks/externalLink4.xml" ContentType="application/vnd.openxmlformats-officedocument.spreadsheetml.externalLink+xml"/>
  <Override PartName="/xl/externalLinks/externalLink15.xml" ContentType="application/vnd.openxmlformats-officedocument.spreadsheetml.externalLink+xml"/>
  <Override PartName="/xl/charts/chart1.xml" ContentType="application/vnd.openxmlformats-officedocument.drawingml.chart+xml"/>
  <Override PartName="/xl/charts/style3.xml" ContentType="application/vnd.ms-office.chartstyle+xml"/>
  <Override PartName="/xl/charts/style1.xml" ContentType="application/vnd.ms-office.chartstyle+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hidePivotFieldList="1"/>
  <bookViews>
    <workbookView xWindow="-105" yWindow="-105" windowWidth="19425" windowHeight="10305" activeTab="1"/>
  </bookViews>
  <sheets>
    <sheet name="Master Data" sheetId="2" r:id="rId1"/>
    <sheet name="Input Data" sheetId="4" r:id="rId2"/>
    <sheet name="Working Sheet" sheetId="6" r:id="rId3"/>
    <sheet name="Dashboard Final" sheetId="9" r:id="rId4"/>
    <sheet name="Sheet1" sheetId="10"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Slicer_MONTHLY">#N/A</definedName>
    <definedName name="Slicer_SEMESTER">#N/A</definedName>
    <definedName name="Slicer_SUBSIDIARY">#N/A</definedName>
    <definedName name="Slicer_YEARLY1">#N/A</definedName>
  </definedNames>
  <calcPr calcId="125725"/>
  <pivotCaches>
    <pivotCache cacheId="7" r:id="rId21"/>
  </pivotCaches>
  <extLst xmlns:x14="http://schemas.microsoft.com/office/spreadsheetml/2009/9/main" xmlns:x15="http://schemas.microsoft.com/office/spreadsheetml/2010/11/main">
    <ext uri="{BBE1A952-AA13-448e-AADC-164F8A28A991}">
      <x14:slicerCaches>
        <x14:slicerCache r:id="rId22"/>
        <x14:slicerCache r:id="rId23"/>
        <x14:slicerCache r:id="rId24"/>
        <x14:slicerCache r:id="rId25"/>
      </x14:slicerCaches>
    </ext>
    <ext uri="{79F54976-1DA5-4618-B147-4CDE4B953A38}">
      <x14:workbookPr/>
    </ext>
    <ext uri="{140A7094-0E35-4892-8432-C4D2E57EDEB5}">
      <x15:workbookPr chartTrackingRefBase="1"/>
    </ext>
  </extLst>
</workbook>
</file>

<file path=xl/calcChain.xml><?xml version="1.0" encoding="utf-8"?>
<calcChain xmlns="http://schemas.openxmlformats.org/spreadsheetml/2006/main">
  <c r="G212" i="4"/>
  <c r="G213"/>
  <c r="G214"/>
  <c r="G215"/>
  <c r="G216"/>
  <c r="G217"/>
  <c r="G218"/>
  <c r="G219"/>
  <c r="G220"/>
  <c r="G221"/>
  <c r="G222"/>
  <c r="G223"/>
  <c r="G224"/>
  <c r="G225"/>
  <c r="G226"/>
  <c r="G227"/>
  <c r="G228"/>
  <c r="G229"/>
  <c r="G230"/>
  <c r="G231"/>
  <c r="G232"/>
  <c r="G233"/>
  <c r="G234"/>
  <c r="G235"/>
  <c r="G236"/>
  <c r="G237"/>
  <c r="G238"/>
  <c r="G239"/>
  <c r="G240"/>
  <c r="G241"/>
  <c r="G242"/>
  <c r="G243"/>
  <c r="G244"/>
  <c r="G245"/>
  <c r="G246"/>
  <c r="G247"/>
  <c r="G248"/>
  <c r="G249"/>
  <c r="G250"/>
  <c r="G251"/>
  <c r="G252"/>
  <c r="G253"/>
  <c r="G254"/>
  <c r="G255"/>
  <c r="G256"/>
  <c r="G257"/>
  <c r="G258"/>
  <c r="G259"/>
  <c r="G260"/>
  <c r="G261"/>
  <c r="G262"/>
  <c r="G263"/>
  <c r="G264"/>
  <c r="G265"/>
  <c r="G266"/>
  <c r="G267"/>
  <c r="G268"/>
  <c r="G269"/>
  <c r="G270"/>
  <c r="G271"/>
  <c r="G272"/>
  <c r="G273"/>
  <c r="G274"/>
  <c r="G275"/>
  <c r="G276"/>
  <c r="G277"/>
  <c r="G278"/>
  <c r="G279"/>
  <c r="G280"/>
  <c r="G281"/>
  <c r="G282"/>
  <c r="G283"/>
  <c r="G284"/>
  <c r="G285"/>
  <c r="G286"/>
  <c r="G287"/>
  <c r="G288"/>
  <c r="G289"/>
  <c r="G290"/>
  <c r="G291"/>
  <c r="G292"/>
  <c r="G293"/>
  <c r="G294"/>
  <c r="G295"/>
  <c r="G296"/>
  <c r="G297"/>
  <c r="G298"/>
  <c r="G299"/>
  <c r="G300"/>
  <c r="G301"/>
  <c r="G302"/>
  <c r="G303"/>
  <c r="G304"/>
  <c r="G305"/>
  <c r="G306"/>
  <c r="G307"/>
  <c r="G308"/>
  <c r="G309"/>
  <c r="G310"/>
  <c r="G311"/>
  <c r="G312"/>
  <c r="G313"/>
  <c r="G314"/>
  <c r="G315"/>
  <c r="G316"/>
  <c r="G317"/>
  <c r="G318"/>
  <c r="G319"/>
  <c r="G320"/>
  <c r="G321"/>
  <c r="G322"/>
  <c r="G323"/>
  <c r="G324"/>
  <c r="G325"/>
  <c r="G326"/>
  <c r="G327"/>
  <c r="G328"/>
  <c r="G329"/>
  <c r="G330"/>
  <c r="G331"/>
  <c r="G332"/>
  <c r="G333"/>
  <c r="G334"/>
  <c r="G335"/>
  <c r="G336"/>
  <c r="G337"/>
  <c r="G338"/>
  <c r="G339"/>
  <c r="G340"/>
  <c r="G341"/>
  <c r="G342"/>
  <c r="G343"/>
  <c r="G344"/>
  <c r="G345"/>
  <c r="G346"/>
  <c r="G347"/>
  <c r="G348"/>
  <c r="G349"/>
  <c r="G350"/>
  <c r="G351"/>
  <c r="G352"/>
  <c r="G353"/>
  <c r="G354"/>
  <c r="G355"/>
  <c r="G356"/>
  <c r="G357"/>
  <c r="G358"/>
  <c r="G359"/>
  <c r="G360"/>
  <c r="G361"/>
  <c r="G362"/>
  <c r="G363"/>
  <c r="G364"/>
  <c r="G365"/>
  <c r="G366"/>
  <c r="G367"/>
  <c r="G368"/>
  <c r="G369"/>
  <c r="G370"/>
  <c r="G371"/>
  <c r="G372"/>
  <c r="G373"/>
  <c r="G374"/>
  <c r="G375"/>
  <c r="G376"/>
  <c r="G377"/>
  <c r="G378"/>
  <c r="G379"/>
  <c r="G380"/>
  <c r="G381"/>
  <c r="G382"/>
  <c r="G383"/>
  <c r="G384"/>
  <c r="G385"/>
  <c r="G386"/>
  <c r="G387"/>
  <c r="G388"/>
  <c r="G389"/>
  <c r="E213"/>
  <c r="E214"/>
  <c r="E215"/>
  <c r="E216"/>
  <c r="E217"/>
  <c r="E218"/>
  <c r="E219"/>
  <c r="E220"/>
  <c r="E221"/>
  <c r="E222"/>
  <c r="E223"/>
  <c r="E224"/>
  <c r="E225"/>
  <c r="E226"/>
  <c r="E227"/>
  <c r="E228"/>
  <c r="E229"/>
  <c r="E230"/>
  <c r="E231"/>
  <c r="E232"/>
  <c r="E233"/>
  <c r="E234"/>
  <c r="E235"/>
  <c r="E236"/>
  <c r="E237"/>
  <c r="E238"/>
  <c r="E239"/>
  <c r="E240"/>
  <c r="E241"/>
  <c r="E242"/>
  <c r="E243"/>
  <c r="E244"/>
  <c r="E245"/>
  <c r="E246"/>
  <c r="E247"/>
  <c r="E248"/>
  <c r="E249"/>
  <c r="E250"/>
  <c r="E251"/>
  <c r="E252"/>
  <c r="E253"/>
  <c r="E254"/>
  <c r="E255"/>
  <c r="E256"/>
  <c r="E257"/>
  <c r="E258"/>
  <c r="E259"/>
  <c r="E260"/>
  <c r="E261"/>
  <c r="E262"/>
  <c r="E263"/>
  <c r="E264"/>
  <c r="E265"/>
  <c r="E266"/>
  <c r="E267"/>
  <c r="E268"/>
  <c r="E269"/>
  <c r="E270"/>
  <c r="E271"/>
  <c r="E272"/>
  <c r="E273"/>
  <c r="E274"/>
  <c r="E275"/>
  <c r="E276"/>
  <c r="E277"/>
  <c r="E278"/>
  <c r="E279"/>
  <c r="E280"/>
  <c r="E281"/>
  <c r="E282"/>
  <c r="E283"/>
  <c r="E284"/>
  <c r="E285"/>
  <c r="E286"/>
  <c r="E287"/>
  <c r="E288"/>
  <c r="E289"/>
  <c r="E290"/>
  <c r="E291"/>
  <c r="E292"/>
  <c r="E293"/>
  <c r="E294"/>
  <c r="E295"/>
  <c r="E296"/>
  <c r="E297"/>
  <c r="E298"/>
  <c r="E299"/>
  <c r="E300"/>
  <c r="E301"/>
  <c r="E302"/>
  <c r="E303"/>
  <c r="E304"/>
  <c r="E306"/>
  <c r="E307"/>
  <c r="E308"/>
  <c r="E309"/>
  <c r="E310"/>
  <c r="E311"/>
  <c r="E312"/>
  <c r="E313"/>
  <c r="E314"/>
  <c r="E315"/>
  <c r="E316"/>
  <c r="E317"/>
  <c r="E318"/>
  <c r="E319"/>
  <c r="E320"/>
  <c r="E321"/>
  <c r="E322"/>
  <c r="E323"/>
  <c r="E324"/>
  <c r="E325"/>
  <c r="E326"/>
  <c r="E327"/>
  <c r="E328"/>
  <c r="E329"/>
  <c r="E330"/>
  <c r="E331"/>
  <c r="E332"/>
  <c r="E333"/>
  <c r="E334"/>
  <c r="E335"/>
  <c r="E336"/>
  <c r="E337"/>
  <c r="E338"/>
  <c r="E339"/>
  <c r="E340"/>
  <c r="E341"/>
  <c r="E342"/>
  <c r="E343"/>
  <c r="E344"/>
  <c r="E345"/>
  <c r="E346"/>
  <c r="E347"/>
  <c r="E348"/>
  <c r="E349"/>
  <c r="E350"/>
  <c r="E351"/>
  <c r="E352"/>
  <c r="E353"/>
  <c r="E354"/>
  <c r="E355"/>
  <c r="E356"/>
  <c r="E357"/>
  <c r="E358"/>
  <c r="E359"/>
  <c r="E360"/>
  <c r="E361"/>
  <c r="E362"/>
  <c r="E363"/>
  <c r="E364"/>
  <c r="E365"/>
  <c r="E366"/>
  <c r="E367"/>
  <c r="E368"/>
  <c r="E369"/>
  <c r="E370"/>
  <c r="E371"/>
  <c r="F371" s="1"/>
  <c r="E372"/>
  <c r="E373"/>
  <c r="E374"/>
  <c r="E375"/>
  <c r="E376"/>
  <c r="E377"/>
  <c r="E378"/>
  <c r="E379"/>
  <c r="E380"/>
  <c r="E381"/>
  <c r="E382"/>
  <c r="E383"/>
  <c r="E384"/>
  <c r="E385"/>
  <c r="E386"/>
  <c r="E387"/>
  <c r="E388"/>
  <c r="E389"/>
  <c r="D213"/>
  <c r="D214"/>
  <c r="D215"/>
  <c r="D216"/>
  <c r="D217"/>
  <c r="D218"/>
  <c r="D219"/>
  <c r="D220"/>
  <c r="D221"/>
  <c r="D222"/>
  <c r="D223"/>
  <c r="D224"/>
  <c r="D225"/>
  <c r="D226"/>
  <c r="D227"/>
  <c r="D228"/>
  <c r="D229"/>
  <c r="D230"/>
  <c r="D231"/>
  <c r="D232"/>
  <c r="D233"/>
  <c r="D234"/>
  <c r="D235"/>
  <c r="D236"/>
  <c r="D237"/>
  <c r="D238"/>
  <c r="D239"/>
  <c r="D240"/>
  <c r="D241"/>
  <c r="D242"/>
  <c r="D243"/>
  <c r="D244"/>
  <c r="D245"/>
  <c r="D246"/>
  <c r="D247"/>
  <c r="D248"/>
  <c r="D249"/>
  <c r="D250"/>
  <c r="D251"/>
  <c r="D252"/>
  <c r="D253"/>
  <c r="D254"/>
  <c r="D255"/>
  <c r="D256"/>
  <c r="D257"/>
  <c r="D258"/>
  <c r="D259"/>
  <c r="D260"/>
  <c r="D261"/>
  <c r="D262"/>
  <c r="D263"/>
  <c r="D264"/>
  <c r="D265"/>
  <c r="D266"/>
  <c r="D267"/>
  <c r="D268"/>
  <c r="D269"/>
  <c r="D270"/>
  <c r="D271"/>
  <c r="D272"/>
  <c r="D273"/>
  <c r="D274"/>
  <c r="D275"/>
  <c r="D276"/>
  <c r="D277"/>
  <c r="D278"/>
  <c r="D279"/>
  <c r="D280"/>
  <c r="D281"/>
  <c r="D282"/>
  <c r="D283"/>
  <c r="D284"/>
  <c r="D285"/>
  <c r="D286"/>
  <c r="D287"/>
  <c r="D288"/>
  <c r="D289"/>
  <c r="D290"/>
  <c r="D291"/>
  <c r="D292"/>
  <c r="D293"/>
  <c r="D294"/>
  <c r="D295"/>
  <c r="D296"/>
  <c r="D297"/>
  <c r="D298"/>
  <c r="D299"/>
  <c r="D300"/>
  <c r="D301"/>
  <c r="D302"/>
  <c r="D303"/>
  <c r="D304"/>
  <c r="D306"/>
  <c r="D307"/>
  <c r="D308"/>
  <c r="D309"/>
  <c r="D310"/>
  <c r="D311"/>
  <c r="D312"/>
  <c r="D313"/>
  <c r="D314"/>
  <c r="D315"/>
  <c r="D316"/>
  <c r="D317"/>
  <c r="D318"/>
  <c r="D319"/>
  <c r="D320"/>
  <c r="D321"/>
  <c r="D322"/>
  <c r="D323"/>
  <c r="D324"/>
  <c r="D325"/>
  <c r="D326"/>
  <c r="D327"/>
  <c r="D328"/>
  <c r="D329"/>
  <c r="D330"/>
  <c r="D331"/>
  <c r="D332"/>
  <c r="D333"/>
  <c r="D334"/>
  <c r="D335"/>
  <c r="D336"/>
  <c r="D337"/>
  <c r="D338"/>
  <c r="D339"/>
  <c r="D340"/>
  <c r="D341"/>
  <c r="D342"/>
  <c r="D343"/>
  <c r="D344"/>
  <c r="D345"/>
  <c r="D346"/>
  <c r="D347"/>
  <c r="D348"/>
  <c r="D349"/>
  <c r="D350"/>
  <c r="D351"/>
  <c r="D352"/>
  <c r="D353"/>
  <c r="D354"/>
  <c r="D355"/>
  <c r="D356"/>
  <c r="D357"/>
  <c r="D358"/>
  <c r="D359"/>
  <c r="D360"/>
  <c r="D361"/>
  <c r="D362"/>
  <c r="D363"/>
  <c r="D364"/>
  <c r="D365"/>
  <c r="D366"/>
  <c r="D367"/>
  <c r="D368"/>
  <c r="D369"/>
  <c r="D370"/>
  <c r="D371"/>
  <c r="D372"/>
  <c r="D373"/>
  <c r="F373" s="1"/>
  <c r="D374"/>
  <c r="D375"/>
  <c r="D376"/>
  <c r="D377"/>
  <c r="F377" s="1"/>
  <c r="D378"/>
  <c r="D379"/>
  <c r="D380"/>
  <c r="D381"/>
  <c r="F381" s="1"/>
  <c r="D382"/>
  <c r="D383"/>
  <c r="D384"/>
  <c r="D385"/>
  <c r="F385" s="1"/>
  <c r="D386"/>
  <c r="D387"/>
  <c r="D388"/>
  <c r="D389"/>
  <c r="F389" s="1"/>
  <c r="E212"/>
  <c r="D212"/>
  <c r="H389"/>
  <c r="I389"/>
  <c r="J389"/>
  <c r="K389"/>
  <c r="C389"/>
  <c r="F386"/>
  <c r="H380"/>
  <c r="H381"/>
  <c r="H382"/>
  <c r="H383"/>
  <c r="H384"/>
  <c r="H385"/>
  <c r="H386"/>
  <c r="H387"/>
  <c r="H388"/>
  <c r="I380"/>
  <c r="I381"/>
  <c r="I382"/>
  <c r="I383"/>
  <c r="I384"/>
  <c r="I385"/>
  <c r="I386"/>
  <c r="I387"/>
  <c r="I388"/>
  <c r="J380"/>
  <c r="J381"/>
  <c r="J382"/>
  <c r="J383"/>
  <c r="J384"/>
  <c r="J385"/>
  <c r="J386"/>
  <c r="J387"/>
  <c r="J388"/>
  <c r="K380"/>
  <c r="K381"/>
  <c r="K382"/>
  <c r="K383"/>
  <c r="K384"/>
  <c r="K385"/>
  <c r="K386"/>
  <c r="K387"/>
  <c r="K388"/>
  <c r="C380"/>
  <c r="C381"/>
  <c r="C382"/>
  <c r="C383"/>
  <c r="C384"/>
  <c r="C385"/>
  <c r="C386"/>
  <c r="C387"/>
  <c r="C388"/>
  <c r="F374"/>
  <c r="F378"/>
  <c r="H374"/>
  <c r="H375"/>
  <c r="H376"/>
  <c r="H377"/>
  <c r="H378"/>
  <c r="H379"/>
  <c r="I374"/>
  <c r="I375"/>
  <c r="I376"/>
  <c r="I377"/>
  <c r="I378"/>
  <c r="I379"/>
  <c r="J374"/>
  <c r="J375"/>
  <c r="J376"/>
  <c r="J377"/>
  <c r="J378"/>
  <c r="J379"/>
  <c r="K374"/>
  <c r="K375"/>
  <c r="K376"/>
  <c r="K377"/>
  <c r="K378"/>
  <c r="K379"/>
  <c r="C374"/>
  <c r="C375"/>
  <c r="C376"/>
  <c r="C377"/>
  <c r="C378"/>
  <c r="C379"/>
  <c r="F368"/>
  <c r="F369"/>
  <c r="F372"/>
  <c r="H368"/>
  <c r="H369"/>
  <c r="H370"/>
  <c r="H371"/>
  <c r="H372"/>
  <c r="H373"/>
  <c r="I368"/>
  <c r="I369"/>
  <c r="I370"/>
  <c r="I371"/>
  <c r="I372"/>
  <c r="I373"/>
  <c r="J368"/>
  <c r="J369"/>
  <c r="J370"/>
  <c r="J371"/>
  <c r="J372"/>
  <c r="J373"/>
  <c r="K368"/>
  <c r="K369"/>
  <c r="K370"/>
  <c r="K371"/>
  <c r="K372"/>
  <c r="K373"/>
  <c r="C365"/>
  <c r="C366"/>
  <c r="C367"/>
  <c r="C368"/>
  <c r="C369"/>
  <c r="C370"/>
  <c r="C371"/>
  <c r="C372"/>
  <c r="C373"/>
  <c r="C358"/>
  <c r="C359"/>
  <c r="C360"/>
  <c r="C361"/>
  <c r="C362"/>
  <c r="C363"/>
  <c r="C364"/>
  <c r="C216"/>
  <c r="C217"/>
  <c r="C218"/>
  <c r="C219"/>
  <c r="C220"/>
  <c r="C221"/>
  <c r="C222"/>
  <c r="C223"/>
  <c r="C224"/>
  <c r="C225"/>
  <c r="C226"/>
  <c r="C227"/>
  <c r="C228"/>
  <c r="C229"/>
  <c r="C230"/>
  <c r="C231"/>
  <c r="C232"/>
  <c r="C233"/>
  <c r="C234"/>
  <c r="C235"/>
  <c r="C236"/>
  <c r="C237"/>
  <c r="C238"/>
  <c r="C239"/>
  <c r="C240"/>
  <c r="C241"/>
  <c r="C242"/>
  <c r="C243"/>
  <c r="C244"/>
  <c r="C245"/>
  <c r="C246"/>
  <c r="C247"/>
  <c r="C248"/>
  <c r="C249"/>
  <c r="C250"/>
  <c r="C251"/>
  <c r="C252"/>
  <c r="C253"/>
  <c r="C254"/>
  <c r="C255"/>
  <c r="C256"/>
  <c r="C257"/>
  <c r="C258"/>
  <c r="C259"/>
  <c r="C260"/>
  <c r="C261"/>
  <c r="C262"/>
  <c r="C263"/>
  <c r="C264"/>
  <c r="C265"/>
  <c r="C266"/>
  <c r="C267"/>
  <c r="C268"/>
  <c r="C269"/>
  <c r="C270"/>
  <c r="C271"/>
  <c r="C272"/>
  <c r="C273"/>
  <c r="C274"/>
  <c r="C275"/>
  <c r="C276"/>
  <c r="C277"/>
  <c r="C278"/>
  <c r="C279"/>
  <c r="C280"/>
  <c r="C281"/>
  <c r="C282"/>
  <c r="C283"/>
  <c r="C284"/>
  <c r="C285"/>
  <c r="C286"/>
  <c r="C287"/>
  <c r="C288"/>
  <c r="C289"/>
  <c r="C290"/>
  <c r="C291"/>
  <c r="C292"/>
  <c r="C293"/>
  <c r="C294"/>
  <c r="C295"/>
  <c r="C296"/>
  <c r="C297"/>
  <c r="C298"/>
  <c r="C299"/>
  <c r="C300"/>
  <c r="C301"/>
  <c r="C302"/>
  <c r="C303"/>
  <c r="C304"/>
  <c r="C305"/>
  <c r="C306"/>
  <c r="C307"/>
  <c r="C308"/>
  <c r="C309"/>
  <c r="C310"/>
  <c r="C311"/>
  <c r="C312"/>
  <c r="C313"/>
  <c r="C314"/>
  <c r="C315"/>
  <c r="C316"/>
  <c r="C317"/>
  <c r="C318"/>
  <c r="C319"/>
  <c r="C320"/>
  <c r="C321"/>
  <c r="C322"/>
  <c r="C323"/>
  <c r="C324"/>
  <c r="C325"/>
  <c r="C326"/>
  <c r="C327"/>
  <c r="C328"/>
  <c r="C329"/>
  <c r="C330"/>
  <c r="C331"/>
  <c r="C332"/>
  <c r="C333"/>
  <c r="C334"/>
  <c r="C335"/>
  <c r="C336"/>
  <c r="C337"/>
  <c r="C338"/>
  <c r="C339"/>
  <c r="C340"/>
  <c r="C341"/>
  <c r="C342"/>
  <c r="C343"/>
  <c r="C344"/>
  <c r="C345"/>
  <c r="C346"/>
  <c r="C347"/>
  <c r="C348"/>
  <c r="C349"/>
  <c r="C350"/>
  <c r="C351"/>
  <c r="C352"/>
  <c r="C353"/>
  <c r="C354"/>
  <c r="C355"/>
  <c r="C356"/>
  <c r="C357"/>
  <c r="C214"/>
  <c r="C215"/>
  <c r="C213"/>
  <c r="C12"/>
  <c r="C13"/>
  <c r="C14"/>
  <c r="C15"/>
  <c r="C16"/>
  <c r="C17"/>
  <c r="C18"/>
  <c r="C19"/>
  <c r="C20"/>
  <c r="C21"/>
  <c r="C22"/>
  <c r="C23"/>
  <c r="C24"/>
  <c r="C25"/>
  <c r="C26"/>
  <c r="C27"/>
  <c r="C28"/>
  <c r="C29"/>
  <c r="C30"/>
  <c r="C31"/>
  <c r="C32"/>
  <c r="C33"/>
  <c r="C34"/>
  <c r="C35"/>
  <c r="C36"/>
  <c r="C37"/>
  <c r="C38"/>
  <c r="C39"/>
  <c r="C40"/>
  <c r="C41"/>
  <c r="C42"/>
  <c r="C43"/>
  <c r="C44"/>
  <c r="C45"/>
  <c r="C47"/>
  <c r="C48"/>
  <c r="C49"/>
  <c r="C50"/>
  <c r="C51"/>
  <c r="C52"/>
  <c r="C53"/>
  <c r="C54"/>
  <c r="C55"/>
  <c r="C56"/>
  <c r="C57"/>
  <c r="C58"/>
  <c r="C59"/>
  <c r="C60"/>
  <c r="C61"/>
  <c r="C62"/>
  <c r="C63"/>
  <c r="C64"/>
  <c r="C65"/>
  <c r="C66"/>
  <c r="C67"/>
  <c r="C68"/>
  <c r="C69"/>
  <c r="C70"/>
  <c r="C71"/>
  <c r="C72"/>
  <c r="C73"/>
  <c r="C74"/>
  <c r="C75"/>
  <c r="C76"/>
  <c r="C77"/>
  <c r="C78"/>
  <c r="C79"/>
  <c r="C80"/>
  <c r="C81"/>
  <c r="C82"/>
  <c r="C83"/>
  <c r="C84"/>
  <c r="C85"/>
  <c r="C86"/>
  <c r="C87"/>
  <c r="C88"/>
  <c r="C89"/>
  <c r="C90"/>
  <c r="C91"/>
  <c r="C92"/>
  <c r="C93"/>
  <c r="C94"/>
  <c r="C95"/>
  <c r="C96"/>
  <c r="C97"/>
  <c r="C98"/>
  <c r="C99"/>
  <c r="C100"/>
  <c r="C101"/>
  <c r="C102"/>
  <c r="C103"/>
  <c r="C104"/>
  <c r="C105"/>
  <c r="C106"/>
  <c r="C107"/>
  <c r="C108"/>
  <c r="C109"/>
  <c r="C110"/>
  <c r="C111"/>
  <c r="C112"/>
  <c r="C113"/>
  <c r="C114"/>
  <c r="C115"/>
  <c r="C116"/>
  <c r="C117"/>
  <c r="C118"/>
  <c r="C119"/>
  <c r="C120"/>
  <c r="C121"/>
  <c r="C122"/>
  <c r="C123"/>
  <c r="C124"/>
  <c r="C125"/>
  <c r="C127"/>
  <c r="C128"/>
  <c r="C129"/>
  <c r="C130"/>
  <c r="C131"/>
  <c r="C132"/>
  <c r="C133"/>
  <c r="C134"/>
  <c r="C135"/>
  <c r="C136"/>
  <c r="C137"/>
  <c r="C138"/>
  <c r="C139"/>
  <c r="C140"/>
  <c r="C141"/>
  <c r="C143"/>
  <c r="C144"/>
  <c r="C145"/>
  <c r="C146"/>
  <c r="C147"/>
  <c r="C148"/>
  <c r="C149"/>
  <c r="C150"/>
  <c r="C151"/>
  <c r="C152"/>
  <c r="C153"/>
  <c r="C154"/>
  <c r="C155"/>
  <c r="C156"/>
  <c r="C157"/>
  <c r="C158"/>
  <c r="C159"/>
  <c r="C160"/>
  <c r="C161"/>
  <c r="C162"/>
  <c r="C163"/>
  <c r="C164"/>
  <c r="C165"/>
  <c r="C166"/>
  <c r="C167"/>
  <c r="C168"/>
  <c r="C169"/>
  <c r="C170"/>
  <c r="C171"/>
  <c r="C172"/>
  <c r="C173"/>
  <c r="C174"/>
  <c r="C175"/>
  <c r="C176"/>
  <c r="C177"/>
  <c r="C178"/>
  <c r="C179"/>
  <c r="C180"/>
  <c r="C181"/>
  <c r="C182"/>
  <c r="C183"/>
  <c r="C184"/>
  <c r="C185"/>
  <c r="C186"/>
  <c r="C187"/>
  <c r="C188"/>
  <c r="C189"/>
  <c r="C190"/>
  <c r="C191"/>
  <c r="C192"/>
  <c r="C193"/>
  <c r="C194"/>
  <c r="C195"/>
  <c r="C196"/>
  <c r="C197"/>
  <c r="C198"/>
  <c r="C199"/>
  <c r="C200"/>
  <c r="C201"/>
  <c r="C202"/>
  <c r="C203"/>
  <c r="C204"/>
  <c r="C205"/>
  <c r="C206"/>
  <c r="C207"/>
  <c r="C208"/>
  <c r="C209"/>
  <c r="C210"/>
  <c r="C211"/>
  <c r="C212"/>
  <c r="F213"/>
  <c r="F214"/>
  <c r="F215"/>
  <c r="F216"/>
  <c r="F217"/>
  <c r="F218"/>
  <c r="F219"/>
  <c r="F220"/>
  <c r="F221"/>
  <c r="F222"/>
  <c r="H213"/>
  <c r="H214"/>
  <c r="H215"/>
  <c r="H216"/>
  <c r="H217"/>
  <c r="H218"/>
  <c r="H219"/>
  <c r="H220"/>
  <c r="H221"/>
  <c r="H222"/>
  <c r="I213"/>
  <c r="I214"/>
  <c r="I215"/>
  <c r="I216"/>
  <c r="I217"/>
  <c r="I218"/>
  <c r="I219"/>
  <c r="I220"/>
  <c r="I221"/>
  <c r="I222"/>
  <c r="J213"/>
  <c r="J214"/>
  <c r="J215"/>
  <c r="J216"/>
  <c r="J217"/>
  <c r="J218"/>
  <c r="J219"/>
  <c r="J220"/>
  <c r="J221"/>
  <c r="J222"/>
  <c r="K213"/>
  <c r="K214"/>
  <c r="K215"/>
  <c r="K216"/>
  <c r="K217"/>
  <c r="K218"/>
  <c r="K219"/>
  <c r="K220"/>
  <c r="K221"/>
  <c r="K222"/>
  <c r="F223"/>
  <c r="F224"/>
  <c r="F225"/>
  <c r="F226"/>
  <c r="F227"/>
  <c r="F228"/>
  <c r="F229"/>
  <c r="F230"/>
  <c r="F231"/>
  <c r="F232"/>
  <c r="F233"/>
  <c r="F234"/>
  <c r="F235"/>
  <c r="F236"/>
  <c r="F237"/>
  <c r="F238"/>
  <c r="F239"/>
  <c r="F240"/>
  <c r="F241"/>
  <c r="F242"/>
  <c r="F243"/>
  <c r="F244"/>
  <c r="F245"/>
  <c r="F246"/>
  <c r="F247"/>
  <c r="F248"/>
  <c r="F249"/>
  <c r="F250"/>
  <c r="F251"/>
  <c r="F252"/>
  <c r="F253"/>
  <c r="F254"/>
  <c r="F255"/>
  <c r="F256"/>
  <c r="F257"/>
  <c r="F258"/>
  <c r="F259"/>
  <c r="F260"/>
  <c r="F261"/>
  <c r="F262"/>
  <c r="F263"/>
  <c r="F264"/>
  <c r="F265"/>
  <c r="F266"/>
  <c r="F267"/>
  <c r="F268"/>
  <c r="F269"/>
  <c r="F270"/>
  <c r="F271"/>
  <c r="F272"/>
  <c r="F273"/>
  <c r="F274"/>
  <c r="F275"/>
  <c r="F276"/>
  <c r="F277"/>
  <c r="F278"/>
  <c r="F279"/>
  <c r="F280"/>
  <c r="F281"/>
  <c r="F282"/>
  <c r="F283"/>
  <c r="F284"/>
  <c r="F285"/>
  <c r="F286"/>
  <c r="F287"/>
  <c r="F288"/>
  <c r="F289"/>
  <c r="F290"/>
  <c r="F291"/>
  <c r="F292"/>
  <c r="F293"/>
  <c r="F294"/>
  <c r="F295"/>
  <c r="F296"/>
  <c r="F297"/>
  <c r="F298"/>
  <c r="F299"/>
  <c r="F300"/>
  <c r="F301"/>
  <c r="F302"/>
  <c r="F303"/>
  <c r="F304"/>
  <c r="F306"/>
  <c r="F307"/>
  <c r="F308"/>
  <c r="F309"/>
  <c r="F310"/>
  <c r="F311"/>
  <c r="F312"/>
  <c r="F313"/>
  <c r="F314"/>
  <c r="F315"/>
  <c r="F316"/>
  <c r="F317"/>
  <c r="F318"/>
  <c r="F319"/>
  <c r="F320"/>
  <c r="F321"/>
  <c r="F322"/>
  <c r="F323"/>
  <c r="F324"/>
  <c r="F325"/>
  <c r="F326"/>
  <c r="F327"/>
  <c r="F328"/>
  <c r="F329"/>
  <c r="F330"/>
  <c r="F331"/>
  <c r="F332"/>
  <c r="F333"/>
  <c r="F334"/>
  <c r="F335"/>
  <c r="F336"/>
  <c r="F337"/>
  <c r="F338"/>
  <c r="F339"/>
  <c r="F340"/>
  <c r="F341"/>
  <c r="F342"/>
  <c r="F343"/>
  <c r="F344"/>
  <c r="F345"/>
  <c r="F346"/>
  <c r="F347"/>
  <c r="F348"/>
  <c r="F349"/>
  <c r="F350"/>
  <c r="F351"/>
  <c r="F352"/>
  <c r="F353"/>
  <c r="F354"/>
  <c r="F355"/>
  <c r="F356"/>
  <c r="F357"/>
  <c r="F358"/>
  <c r="F359"/>
  <c r="F360"/>
  <c r="F361"/>
  <c r="F362"/>
  <c r="F363"/>
  <c r="F364"/>
  <c r="F365"/>
  <c r="F366"/>
  <c r="F367"/>
  <c r="H212"/>
  <c r="H223"/>
  <c r="H224"/>
  <c r="H225"/>
  <c r="H226"/>
  <c r="H227"/>
  <c r="H228"/>
  <c r="H229"/>
  <c r="H230"/>
  <c r="H231"/>
  <c r="H232"/>
  <c r="H233"/>
  <c r="H234"/>
  <c r="H235"/>
  <c r="H236"/>
  <c r="H237"/>
  <c r="H238"/>
  <c r="H239"/>
  <c r="H240"/>
  <c r="H241"/>
  <c r="H242"/>
  <c r="H243"/>
  <c r="H244"/>
  <c r="H245"/>
  <c r="H246"/>
  <c r="H247"/>
  <c r="H248"/>
  <c r="H249"/>
  <c r="H250"/>
  <c r="H251"/>
  <c r="H252"/>
  <c r="H253"/>
  <c r="H254"/>
  <c r="H255"/>
  <c r="H256"/>
  <c r="H257"/>
  <c r="H258"/>
  <c r="H259"/>
  <c r="H260"/>
  <c r="H261"/>
  <c r="H262"/>
  <c r="H263"/>
  <c r="H264"/>
  <c r="H265"/>
  <c r="H266"/>
  <c r="H267"/>
  <c r="H268"/>
  <c r="H269"/>
  <c r="H270"/>
  <c r="H271"/>
  <c r="H272"/>
  <c r="H273"/>
  <c r="H274"/>
  <c r="H275"/>
  <c r="H276"/>
  <c r="H277"/>
  <c r="H278"/>
  <c r="H279"/>
  <c r="H280"/>
  <c r="H281"/>
  <c r="H282"/>
  <c r="H283"/>
  <c r="H284"/>
  <c r="H285"/>
  <c r="H286"/>
  <c r="H287"/>
  <c r="H288"/>
  <c r="H289"/>
  <c r="H290"/>
  <c r="H291"/>
  <c r="H292"/>
  <c r="H293"/>
  <c r="H294"/>
  <c r="H295"/>
  <c r="H296"/>
  <c r="H297"/>
  <c r="H298"/>
  <c r="H299"/>
  <c r="H300"/>
  <c r="H301"/>
  <c r="H302"/>
  <c r="H303"/>
  <c r="H304"/>
  <c r="H305"/>
  <c r="H306"/>
  <c r="H307"/>
  <c r="H308"/>
  <c r="H309"/>
  <c r="H310"/>
  <c r="H311"/>
  <c r="H312"/>
  <c r="H313"/>
  <c r="H314"/>
  <c r="H315"/>
  <c r="H316"/>
  <c r="H317"/>
  <c r="H318"/>
  <c r="H319"/>
  <c r="H320"/>
  <c r="H321"/>
  <c r="H322"/>
  <c r="H323"/>
  <c r="H324"/>
  <c r="H325"/>
  <c r="H326"/>
  <c r="H327"/>
  <c r="H328"/>
  <c r="H329"/>
  <c r="H330"/>
  <c r="H331"/>
  <c r="H332"/>
  <c r="H333"/>
  <c r="H334"/>
  <c r="H335"/>
  <c r="H336"/>
  <c r="H337"/>
  <c r="H338"/>
  <c r="H339"/>
  <c r="H340"/>
  <c r="H341"/>
  <c r="H342"/>
  <c r="H343"/>
  <c r="H344"/>
  <c r="H345"/>
  <c r="H346"/>
  <c r="H347"/>
  <c r="H348"/>
  <c r="H349"/>
  <c r="H350"/>
  <c r="H351"/>
  <c r="H352"/>
  <c r="H353"/>
  <c r="H354"/>
  <c r="H355"/>
  <c r="H356"/>
  <c r="H357"/>
  <c r="H358"/>
  <c r="H359"/>
  <c r="H360"/>
  <c r="H361"/>
  <c r="H362"/>
  <c r="H363"/>
  <c r="H364"/>
  <c r="H365"/>
  <c r="H366"/>
  <c r="H367"/>
  <c r="I212"/>
  <c r="I223"/>
  <c r="I224"/>
  <c r="I225"/>
  <c r="I226"/>
  <c r="I227"/>
  <c r="I228"/>
  <c r="I229"/>
  <c r="I230"/>
  <c r="I231"/>
  <c r="I232"/>
  <c r="I233"/>
  <c r="I234"/>
  <c r="I235"/>
  <c r="I236"/>
  <c r="I237"/>
  <c r="I238"/>
  <c r="I239"/>
  <c r="I240"/>
  <c r="I241"/>
  <c r="I242"/>
  <c r="I243"/>
  <c r="I244"/>
  <c r="I245"/>
  <c r="I246"/>
  <c r="I247"/>
  <c r="I248"/>
  <c r="I249"/>
  <c r="I250"/>
  <c r="I251"/>
  <c r="I252"/>
  <c r="I253"/>
  <c r="I254"/>
  <c r="I255"/>
  <c r="I256"/>
  <c r="I257"/>
  <c r="I258"/>
  <c r="I259"/>
  <c r="I260"/>
  <c r="I261"/>
  <c r="I262"/>
  <c r="I263"/>
  <c r="I264"/>
  <c r="I265"/>
  <c r="I266"/>
  <c r="I267"/>
  <c r="I268"/>
  <c r="I269"/>
  <c r="I270"/>
  <c r="I271"/>
  <c r="I272"/>
  <c r="I273"/>
  <c r="I274"/>
  <c r="I275"/>
  <c r="I276"/>
  <c r="I277"/>
  <c r="I278"/>
  <c r="I279"/>
  <c r="I280"/>
  <c r="I281"/>
  <c r="I282"/>
  <c r="I283"/>
  <c r="I284"/>
  <c r="I285"/>
  <c r="I286"/>
  <c r="I287"/>
  <c r="I288"/>
  <c r="I289"/>
  <c r="I290"/>
  <c r="I291"/>
  <c r="I292"/>
  <c r="I293"/>
  <c r="I294"/>
  <c r="I295"/>
  <c r="I296"/>
  <c r="I297"/>
  <c r="I298"/>
  <c r="I299"/>
  <c r="I300"/>
  <c r="I301"/>
  <c r="I302"/>
  <c r="I303"/>
  <c r="I304"/>
  <c r="I305"/>
  <c r="I306"/>
  <c r="I307"/>
  <c r="I308"/>
  <c r="I309"/>
  <c r="I310"/>
  <c r="I311"/>
  <c r="I312"/>
  <c r="I313"/>
  <c r="I314"/>
  <c r="I315"/>
  <c r="I316"/>
  <c r="I317"/>
  <c r="I318"/>
  <c r="I319"/>
  <c r="I320"/>
  <c r="I321"/>
  <c r="I322"/>
  <c r="I323"/>
  <c r="I324"/>
  <c r="I325"/>
  <c r="I326"/>
  <c r="I327"/>
  <c r="I328"/>
  <c r="I329"/>
  <c r="I330"/>
  <c r="I331"/>
  <c r="I332"/>
  <c r="I333"/>
  <c r="I334"/>
  <c r="I335"/>
  <c r="I336"/>
  <c r="I337"/>
  <c r="I338"/>
  <c r="I339"/>
  <c r="I340"/>
  <c r="I341"/>
  <c r="I342"/>
  <c r="I343"/>
  <c r="I344"/>
  <c r="I345"/>
  <c r="I346"/>
  <c r="I347"/>
  <c r="I348"/>
  <c r="I349"/>
  <c r="I350"/>
  <c r="I351"/>
  <c r="I352"/>
  <c r="I353"/>
  <c r="I354"/>
  <c r="I355"/>
  <c r="I356"/>
  <c r="I357"/>
  <c r="I358"/>
  <c r="I359"/>
  <c r="I360"/>
  <c r="I361"/>
  <c r="I362"/>
  <c r="I363"/>
  <c r="I364"/>
  <c r="I365"/>
  <c r="I366"/>
  <c r="I367"/>
  <c r="J212"/>
  <c r="J223"/>
  <c r="J224"/>
  <c r="J225"/>
  <c r="J226"/>
  <c r="J227"/>
  <c r="J228"/>
  <c r="J229"/>
  <c r="J230"/>
  <c r="J231"/>
  <c r="J232"/>
  <c r="J233"/>
  <c r="J234"/>
  <c r="J235"/>
  <c r="J236"/>
  <c r="J237"/>
  <c r="J238"/>
  <c r="J239"/>
  <c r="J240"/>
  <c r="J241"/>
  <c r="J242"/>
  <c r="J243"/>
  <c r="J244"/>
  <c r="J245"/>
  <c r="J246"/>
  <c r="J247"/>
  <c r="J248"/>
  <c r="J249"/>
  <c r="J250"/>
  <c r="J251"/>
  <c r="J252"/>
  <c r="J253"/>
  <c r="J254"/>
  <c r="J255"/>
  <c r="J256"/>
  <c r="J257"/>
  <c r="J258"/>
  <c r="J259"/>
  <c r="J260"/>
  <c r="J261"/>
  <c r="J262"/>
  <c r="J263"/>
  <c r="J264"/>
  <c r="J265"/>
  <c r="J266"/>
  <c r="J267"/>
  <c r="J268"/>
  <c r="J269"/>
  <c r="J270"/>
  <c r="J271"/>
  <c r="J272"/>
  <c r="J273"/>
  <c r="J274"/>
  <c r="J275"/>
  <c r="J276"/>
  <c r="J277"/>
  <c r="J278"/>
  <c r="J279"/>
  <c r="J280"/>
  <c r="J281"/>
  <c r="J282"/>
  <c r="J283"/>
  <c r="J284"/>
  <c r="J285"/>
  <c r="J286"/>
  <c r="J287"/>
  <c r="J288"/>
  <c r="J289"/>
  <c r="J290"/>
  <c r="J291"/>
  <c r="J292"/>
  <c r="J293"/>
  <c r="J294"/>
  <c r="J295"/>
  <c r="J296"/>
  <c r="J297"/>
  <c r="J298"/>
  <c r="J299"/>
  <c r="J300"/>
  <c r="J301"/>
  <c r="J302"/>
  <c r="J303"/>
  <c r="J304"/>
  <c r="J305"/>
  <c r="J306"/>
  <c r="J307"/>
  <c r="J308"/>
  <c r="J309"/>
  <c r="J310"/>
  <c r="J311"/>
  <c r="J312"/>
  <c r="J313"/>
  <c r="J314"/>
  <c r="J315"/>
  <c r="J316"/>
  <c r="J317"/>
  <c r="J318"/>
  <c r="J319"/>
  <c r="J320"/>
  <c r="J321"/>
  <c r="J322"/>
  <c r="J323"/>
  <c r="J324"/>
  <c r="J325"/>
  <c r="J326"/>
  <c r="J327"/>
  <c r="J328"/>
  <c r="J329"/>
  <c r="J330"/>
  <c r="J331"/>
  <c r="J332"/>
  <c r="J333"/>
  <c r="J334"/>
  <c r="J335"/>
  <c r="J336"/>
  <c r="J337"/>
  <c r="J338"/>
  <c r="J339"/>
  <c r="J340"/>
  <c r="J341"/>
  <c r="J342"/>
  <c r="J343"/>
  <c r="J344"/>
  <c r="J345"/>
  <c r="J346"/>
  <c r="J347"/>
  <c r="J348"/>
  <c r="J349"/>
  <c r="J350"/>
  <c r="J351"/>
  <c r="J352"/>
  <c r="J353"/>
  <c r="J354"/>
  <c r="J355"/>
  <c r="J356"/>
  <c r="J357"/>
  <c r="J358"/>
  <c r="J359"/>
  <c r="J360"/>
  <c r="J361"/>
  <c r="J362"/>
  <c r="J363"/>
  <c r="J364"/>
  <c r="J365"/>
  <c r="J366"/>
  <c r="J367"/>
  <c r="K212"/>
  <c r="K223"/>
  <c r="K224"/>
  <c r="K225"/>
  <c r="K226"/>
  <c r="K227"/>
  <c r="K228"/>
  <c r="K229"/>
  <c r="K230"/>
  <c r="K231"/>
  <c r="K232"/>
  <c r="K233"/>
  <c r="K234"/>
  <c r="K235"/>
  <c r="K236"/>
  <c r="K237"/>
  <c r="K238"/>
  <c r="K239"/>
  <c r="K240"/>
  <c r="K241"/>
  <c r="K242"/>
  <c r="K243"/>
  <c r="K244"/>
  <c r="K245"/>
  <c r="K246"/>
  <c r="K247"/>
  <c r="K248"/>
  <c r="K249"/>
  <c r="K250"/>
  <c r="K251"/>
  <c r="K252"/>
  <c r="K253"/>
  <c r="K254"/>
  <c r="K255"/>
  <c r="K256"/>
  <c r="K257"/>
  <c r="K258"/>
  <c r="K259"/>
  <c r="K260"/>
  <c r="K261"/>
  <c r="K262"/>
  <c r="K263"/>
  <c r="K264"/>
  <c r="K265"/>
  <c r="K266"/>
  <c r="K267"/>
  <c r="K268"/>
  <c r="K269"/>
  <c r="K270"/>
  <c r="K271"/>
  <c r="K272"/>
  <c r="K273"/>
  <c r="K274"/>
  <c r="K275"/>
  <c r="K276"/>
  <c r="K277"/>
  <c r="K278"/>
  <c r="K279"/>
  <c r="K280"/>
  <c r="K281"/>
  <c r="K282"/>
  <c r="K283"/>
  <c r="K284"/>
  <c r="K285"/>
  <c r="K286"/>
  <c r="K287"/>
  <c r="K288"/>
  <c r="K289"/>
  <c r="K290"/>
  <c r="K291"/>
  <c r="K292"/>
  <c r="K293"/>
  <c r="K294"/>
  <c r="K295"/>
  <c r="K296"/>
  <c r="K297"/>
  <c r="K298"/>
  <c r="K299"/>
  <c r="K300"/>
  <c r="K301"/>
  <c r="K302"/>
  <c r="K303"/>
  <c r="K304"/>
  <c r="K305"/>
  <c r="K306"/>
  <c r="K307"/>
  <c r="K308"/>
  <c r="K309"/>
  <c r="K310"/>
  <c r="K311"/>
  <c r="K312"/>
  <c r="K313"/>
  <c r="K314"/>
  <c r="K315"/>
  <c r="K316"/>
  <c r="K317"/>
  <c r="K318"/>
  <c r="K319"/>
  <c r="K320"/>
  <c r="K321"/>
  <c r="K322"/>
  <c r="K323"/>
  <c r="K324"/>
  <c r="K325"/>
  <c r="K326"/>
  <c r="K327"/>
  <c r="K328"/>
  <c r="K329"/>
  <c r="K330"/>
  <c r="K331"/>
  <c r="K332"/>
  <c r="K333"/>
  <c r="K334"/>
  <c r="K335"/>
  <c r="K336"/>
  <c r="K337"/>
  <c r="K338"/>
  <c r="K339"/>
  <c r="K340"/>
  <c r="K341"/>
  <c r="K342"/>
  <c r="K343"/>
  <c r="K344"/>
  <c r="K345"/>
  <c r="K346"/>
  <c r="K347"/>
  <c r="K348"/>
  <c r="K349"/>
  <c r="K350"/>
  <c r="K351"/>
  <c r="K352"/>
  <c r="K353"/>
  <c r="K354"/>
  <c r="K355"/>
  <c r="K356"/>
  <c r="K357"/>
  <c r="K358"/>
  <c r="K359"/>
  <c r="K360"/>
  <c r="K361"/>
  <c r="K362"/>
  <c r="K363"/>
  <c r="K364"/>
  <c r="K365"/>
  <c r="K366"/>
  <c r="K367"/>
  <c r="F388" l="1"/>
  <c r="F384"/>
  <c r="F380"/>
  <c r="F376"/>
  <c r="F382"/>
  <c r="F387"/>
  <c r="F383"/>
  <c r="F379"/>
  <c r="F375"/>
  <c r="F370"/>
  <c r="F212"/>
  <c r="E305" l="1"/>
  <c r="F305" s="1"/>
  <c r="D305"/>
  <c r="G205" l="1"/>
  <c r="G206"/>
  <c r="G207"/>
  <c r="G208"/>
  <c r="G209"/>
  <c r="G210"/>
  <c r="G211"/>
  <c r="D211"/>
  <c r="E211"/>
  <c r="F211" s="1"/>
  <c r="D210"/>
  <c r="E210"/>
  <c r="D209"/>
  <c r="E209"/>
  <c r="F209" s="1"/>
  <c r="D208"/>
  <c r="E208"/>
  <c r="D207"/>
  <c r="E207"/>
  <c r="D206"/>
  <c r="E206"/>
  <c r="E205"/>
  <c r="D205"/>
  <c r="H206"/>
  <c r="H207"/>
  <c r="H208"/>
  <c r="H209"/>
  <c r="H210"/>
  <c r="H211"/>
  <c r="I206"/>
  <c r="I207"/>
  <c r="I208"/>
  <c r="I209"/>
  <c r="I210"/>
  <c r="I211"/>
  <c r="J206"/>
  <c r="J207"/>
  <c r="J208"/>
  <c r="J209"/>
  <c r="J210"/>
  <c r="J211"/>
  <c r="K206"/>
  <c r="K207"/>
  <c r="K208"/>
  <c r="K209"/>
  <c r="K210"/>
  <c r="K211"/>
  <c r="F210" l="1"/>
  <c r="F206"/>
  <c r="F208"/>
  <c r="F205"/>
  <c r="F207"/>
  <c r="G204"/>
  <c r="D204"/>
  <c r="E204"/>
  <c r="H204"/>
  <c r="I204"/>
  <c r="J204"/>
  <c r="K204"/>
  <c r="G197"/>
  <c r="G198"/>
  <c r="G199"/>
  <c r="G200"/>
  <c r="G201"/>
  <c r="G202"/>
  <c r="G203"/>
  <c r="D203"/>
  <c r="E203"/>
  <c r="D202"/>
  <c r="E202"/>
  <c r="D201"/>
  <c r="E201"/>
  <c r="D200"/>
  <c r="E200"/>
  <c r="D199"/>
  <c r="E199"/>
  <c r="D198"/>
  <c r="E198"/>
  <c r="D197"/>
  <c r="E197"/>
  <c r="H198"/>
  <c r="H199"/>
  <c r="H200"/>
  <c r="H201"/>
  <c r="H202"/>
  <c r="H203"/>
  <c r="I198"/>
  <c r="I199"/>
  <c r="I200"/>
  <c r="I201"/>
  <c r="I202"/>
  <c r="I203"/>
  <c r="J198"/>
  <c r="J199"/>
  <c r="J200"/>
  <c r="J201"/>
  <c r="J202"/>
  <c r="J203"/>
  <c r="K198"/>
  <c r="K199"/>
  <c r="K200"/>
  <c r="K201"/>
  <c r="K202"/>
  <c r="K203"/>
  <c r="F200" l="1"/>
  <c r="F202"/>
  <c r="F204"/>
  <c r="F203"/>
  <c r="F197"/>
  <c r="F198"/>
  <c r="F201"/>
  <c r="F199"/>
  <c r="G192"/>
  <c r="G193"/>
  <c r="G194"/>
  <c r="G195"/>
  <c r="G196"/>
  <c r="D196"/>
  <c r="E196"/>
  <c r="D195"/>
  <c r="E195"/>
  <c r="F195" s="1"/>
  <c r="D194"/>
  <c r="E194"/>
  <c r="D193"/>
  <c r="E193"/>
  <c r="D192"/>
  <c r="E192"/>
  <c r="G190"/>
  <c r="G191"/>
  <c r="D191"/>
  <c r="F191" s="1"/>
  <c r="E191"/>
  <c r="D190"/>
  <c r="E190"/>
  <c r="H191"/>
  <c r="H192"/>
  <c r="H193"/>
  <c r="H194"/>
  <c r="H195"/>
  <c r="H196"/>
  <c r="I191"/>
  <c r="I192"/>
  <c r="I193"/>
  <c r="I194"/>
  <c r="I195"/>
  <c r="I196"/>
  <c r="J191"/>
  <c r="J192"/>
  <c r="J193"/>
  <c r="J194"/>
  <c r="J195"/>
  <c r="J196"/>
  <c r="K191"/>
  <c r="K192"/>
  <c r="K193"/>
  <c r="K194"/>
  <c r="K195"/>
  <c r="K196"/>
  <c r="G189"/>
  <c r="D189"/>
  <c r="E189"/>
  <c r="H189"/>
  <c r="G188"/>
  <c r="D188"/>
  <c r="E188"/>
  <c r="G187"/>
  <c r="D187"/>
  <c r="E187"/>
  <c r="G186"/>
  <c r="D186"/>
  <c r="E186"/>
  <c r="G185"/>
  <c r="D185"/>
  <c r="E185"/>
  <c r="G182"/>
  <c r="G183"/>
  <c r="G184"/>
  <c r="D184"/>
  <c r="E184"/>
  <c r="D183"/>
  <c r="E183"/>
  <c r="D182"/>
  <c r="E182"/>
  <c r="H183"/>
  <c r="H184"/>
  <c r="H185"/>
  <c r="H186"/>
  <c r="H187"/>
  <c r="H188"/>
  <c r="I183"/>
  <c r="I184"/>
  <c r="I185"/>
  <c r="I186"/>
  <c r="I187"/>
  <c r="I188"/>
  <c r="I189"/>
  <c r="J183"/>
  <c r="J184"/>
  <c r="J185"/>
  <c r="J186"/>
  <c r="J187"/>
  <c r="J188"/>
  <c r="J189"/>
  <c r="K183"/>
  <c r="K184"/>
  <c r="K185"/>
  <c r="K186"/>
  <c r="K187"/>
  <c r="K188"/>
  <c r="K189"/>
  <c r="F194" l="1"/>
  <c r="F190"/>
  <c r="F187"/>
  <c r="F192"/>
  <c r="F184"/>
  <c r="F193"/>
  <c r="F196"/>
  <c r="F182"/>
  <c r="F189"/>
  <c r="F188"/>
  <c r="F183"/>
  <c r="F186"/>
  <c r="F185"/>
  <c r="G175"/>
  <c r="G176"/>
  <c r="G177"/>
  <c r="G178"/>
  <c r="G179"/>
  <c r="G180"/>
  <c r="G181"/>
  <c r="D181"/>
  <c r="E181"/>
  <c r="D180"/>
  <c r="E180"/>
  <c r="D179"/>
  <c r="E179"/>
  <c r="D178"/>
  <c r="E178"/>
  <c r="D177"/>
  <c r="E177"/>
  <c r="D176"/>
  <c r="E176"/>
  <c r="D175"/>
  <c r="E175"/>
  <c r="H176"/>
  <c r="H177"/>
  <c r="H178"/>
  <c r="H179"/>
  <c r="H180"/>
  <c r="H181"/>
  <c r="I176"/>
  <c r="I177"/>
  <c r="I178"/>
  <c r="I179"/>
  <c r="I180"/>
  <c r="I181"/>
  <c r="J176"/>
  <c r="J177"/>
  <c r="J178"/>
  <c r="J179"/>
  <c r="J180"/>
  <c r="J181"/>
  <c r="K176"/>
  <c r="K177"/>
  <c r="K178"/>
  <c r="K179"/>
  <c r="K180"/>
  <c r="K181"/>
  <c r="F180" l="1"/>
  <c r="F175"/>
  <c r="F181"/>
  <c r="F177"/>
  <c r="F178"/>
  <c r="F176"/>
  <c r="F179"/>
  <c r="O24" i="6"/>
  <c r="P24"/>
  <c r="N24"/>
  <c r="G174" i="4"/>
  <c r="D174"/>
  <c r="E174"/>
  <c r="H174"/>
  <c r="I174"/>
  <c r="J174"/>
  <c r="K174"/>
  <c r="G166"/>
  <c r="G167"/>
  <c r="G168"/>
  <c r="G169"/>
  <c r="G170"/>
  <c r="G171"/>
  <c r="G172"/>
  <c r="G173"/>
  <c r="D173"/>
  <c r="E173"/>
  <c r="D172"/>
  <c r="E172"/>
  <c r="D171"/>
  <c r="E171"/>
  <c r="H171"/>
  <c r="H172"/>
  <c r="H173"/>
  <c r="I171"/>
  <c r="I172"/>
  <c r="I173"/>
  <c r="J171"/>
  <c r="J172"/>
  <c r="J173"/>
  <c r="K171"/>
  <c r="K172"/>
  <c r="K173"/>
  <c r="D170"/>
  <c r="E170"/>
  <c r="D169"/>
  <c r="E169"/>
  <c r="D168"/>
  <c r="E168"/>
  <c r="D167"/>
  <c r="E167"/>
  <c r="D166"/>
  <c r="E166"/>
  <c r="G165"/>
  <c r="D165"/>
  <c r="E165"/>
  <c r="F174" l="1"/>
  <c r="F173"/>
  <c r="F170"/>
  <c r="F167"/>
  <c r="F171"/>
  <c r="F168"/>
  <c r="F172"/>
  <c r="F169"/>
  <c r="F165"/>
  <c r="F166"/>
  <c r="H166" l="1"/>
  <c r="H167"/>
  <c r="H168"/>
  <c r="H169"/>
  <c r="H170"/>
  <c r="I166"/>
  <c r="I167"/>
  <c r="I168"/>
  <c r="I169"/>
  <c r="I170"/>
  <c r="J166"/>
  <c r="J167"/>
  <c r="J168"/>
  <c r="J169"/>
  <c r="J170"/>
  <c r="K166"/>
  <c r="K167"/>
  <c r="K168"/>
  <c r="K169"/>
  <c r="K170"/>
  <c r="L25" i="6"/>
  <c r="K23"/>
  <c r="I19"/>
  <c r="H27"/>
  <c r="H26"/>
  <c r="G26"/>
  <c r="F26"/>
  <c r="E26"/>
  <c r="D26"/>
  <c r="C26"/>
  <c r="B26"/>
  <c r="G27"/>
  <c r="F27"/>
  <c r="E27"/>
  <c r="D27"/>
  <c r="C27"/>
  <c r="B27"/>
  <c r="H23"/>
  <c r="H22"/>
  <c r="G23"/>
  <c r="F23"/>
  <c r="E23"/>
  <c r="D23"/>
  <c r="C23"/>
  <c r="B23"/>
  <c r="G22"/>
  <c r="F22"/>
  <c r="E22"/>
  <c r="D22"/>
  <c r="C22"/>
  <c r="B22"/>
  <c r="H18"/>
  <c r="H19"/>
  <c r="G19"/>
  <c r="F19"/>
  <c r="E19"/>
  <c r="D19"/>
  <c r="C19"/>
  <c r="B19"/>
  <c r="G18"/>
  <c r="F18"/>
  <c r="E18"/>
  <c r="D18"/>
  <c r="C18"/>
  <c r="B18"/>
  <c r="L17" l="1"/>
  <c r="M17"/>
  <c r="N17"/>
  <c r="G164" i="4"/>
  <c r="D164"/>
  <c r="E164"/>
  <c r="H164"/>
  <c r="I164"/>
  <c r="J164"/>
  <c r="K164"/>
  <c r="G162"/>
  <c r="G163"/>
  <c r="D163"/>
  <c r="E163"/>
  <c r="D162"/>
  <c r="E162"/>
  <c r="G161"/>
  <c r="D161"/>
  <c r="E161"/>
  <c r="G160"/>
  <c r="D160"/>
  <c r="E160"/>
  <c r="G159"/>
  <c r="D159"/>
  <c r="E159"/>
  <c r="G158"/>
  <c r="D158"/>
  <c r="E158"/>
  <c r="G157"/>
  <c r="D157"/>
  <c r="E157"/>
  <c r="H158"/>
  <c r="H159"/>
  <c r="H160"/>
  <c r="H161"/>
  <c r="H162"/>
  <c r="H163"/>
  <c r="I158"/>
  <c r="I159"/>
  <c r="I160"/>
  <c r="I161"/>
  <c r="I162"/>
  <c r="I163"/>
  <c r="J158"/>
  <c r="J159"/>
  <c r="J160"/>
  <c r="J161"/>
  <c r="J162"/>
  <c r="J163"/>
  <c r="K158"/>
  <c r="K159"/>
  <c r="K160"/>
  <c r="K161"/>
  <c r="K162"/>
  <c r="K163"/>
  <c r="D156"/>
  <c r="E156"/>
  <c r="D150"/>
  <c r="E150"/>
  <c r="D146"/>
  <c r="E146"/>
  <c r="D147"/>
  <c r="E147"/>
  <c r="D145"/>
  <c r="E145"/>
  <c r="F163" l="1"/>
  <c r="F162"/>
  <c r="F164"/>
  <c r="F160"/>
  <c r="F159"/>
  <c r="F161"/>
  <c r="F158"/>
  <c r="G156"/>
  <c r="H156"/>
  <c r="I156"/>
  <c r="J156"/>
  <c r="K156"/>
  <c r="L16" i="6"/>
  <c r="M16"/>
  <c r="N16"/>
  <c r="D155" i="4"/>
  <c r="E155"/>
  <c r="G155"/>
  <c r="G154"/>
  <c r="D154"/>
  <c r="E154"/>
  <c r="G151"/>
  <c r="G152"/>
  <c r="G153"/>
  <c r="D153"/>
  <c r="E153"/>
  <c r="D152"/>
  <c r="E152"/>
  <c r="E151"/>
  <c r="D151"/>
  <c r="H152"/>
  <c r="H153"/>
  <c r="H154"/>
  <c r="H155"/>
  <c r="I152"/>
  <c r="I153"/>
  <c r="I154"/>
  <c r="I155"/>
  <c r="J152"/>
  <c r="J153"/>
  <c r="J154"/>
  <c r="J155"/>
  <c r="K152"/>
  <c r="K153"/>
  <c r="K154"/>
  <c r="K155"/>
  <c r="L15" i="6"/>
  <c r="M15"/>
  <c r="N15"/>
  <c r="G145" i="4"/>
  <c r="G146"/>
  <c r="G147"/>
  <c r="H145"/>
  <c r="H146"/>
  <c r="H147"/>
  <c r="I145"/>
  <c r="I146"/>
  <c r="I147"/>
  <c r="J145"/>
  <c r="J146"/>
  <c r="J147"/>
  <c r="K145"/>
  <c r="K146"/>
  <c r="K147"/>
  <c r="G150"/>
  <c r="G149"/>
  <c r="F157"/>
  <c r="E149"/>
  <c r="D149"/>
  <c r="G148"/>
  <c r="E148"/>
  <c r="D148"/>
  <c r="G144"/>
  <c r="D144"/>
  <c r="E144"/>
  <c r="H144"/>
  <c r="H148"/>
  <c r="H149"/>
  <c r="H150"/>
  <c r="I144"/>
  <c r="I148"/>
  <c r="I149"/>
  <c r="I150"/>
  <c r="J144"/>
  <c r="J148"/>
  <c r="J149"/>
  <c r="J150"/>
  <c r="K144"/>
  <c r="K148"/>
  <c r="K149"/>
  <c r="K150"/>
  <c r="G143"/>
  <c r="E143"/>
  <c r="D143"/>
  <c r="F154" l="1"/>
  <c r="F156"/>
  <c r="F152"/>
  <c r="F153"/>
  <c r="F151"/>
  <c r="F155"/>
  <c r="F150"/>
  <c r="F145"/>
  <c r="F144"/>
  <c r="F147"/>
  <c r="F148"/>
  <c r="F146"/>
  <c r="F149"/>
  <c r="H151" l="1"/>
  <c r="H157"/>
  <c r="H165"/>
  <c r="H175"/>
  <c r="H182"/>
  <c r="H190"/>
  <c r="H197"/>
  <c r="H205"/>
  <c r="I151"/>
  <c r="I157"/>
  <c r="I165"/>
  <c r="I175"/>
  <c r="I182"/>
  <c r="I190"/>
  <c r="I197"/>
  <c r="I205"/>
  <c r="J151"/>
  <c r="J157"/>
  <c r="J165"/>
  <c r="J175"/>
  <c r="J182"/>
  <c r="J190"/>
  <c r="J197"/>
  <c r="J205"/>
  <c r="K151"/>
  <c r="K157"/>
  <c r="K165"/>
  <c r="K175"/>
  <c r="K182"/>
  <c r="K190"/>
  <c r="K197"/>
  <c r="K205"/>
  <c r="F143"/>
  <c r="H143"/>
  <c r="I143"/>
  <c r="J143"/>
  <c r="K143"/>
  <c r="AY5" i="6"/>
  <c r="AY6" s="1"/>
  <c r="AY7" s="1"/>
  <c r="AY8" s="1"/>
  <c r="AY9" s="1"/>
  <c r="AY10" s="1"/>
  <c r="AY11" s="1"/>
  <c r="AY12" s="1"/>
  <c r="AY13" s="1"/>
  <c r="AY14" s="1"/>
  <c r="AY15" s="1"/>
  <c r="AY16" s="1"/>
  <c r="AX5"/>
  <c r="AX6" s="1"/>
  <c r="AX7" s="1"/>
  <c r="AX8" s="1"/>
  <c r="AX9" s="1"/>
  <c r="AX10" s="1"/>
  <c r="AX11" s="1"/>
  <c r="AX12" s="1"/>
  <c r="AX13" s="1"/>
  <c r="AX14" s="1"/>
  <c r="AX15" s="1"/>
  <c r="AX16" s="1"/>
  <c r="AW16"/>
  <c r="AW15"/>
  <c r="AW14"/>
  <c r="AW13"/>
  <c r="AW12"/>
  <c r="AW11"/>
  <c r="AW10"/>
  <c r="AW9"/>
  <c r="AW8"/>
  <c r="AW7"/>
  <c r="AW6"/>
  <c r="AW5"/>
  <c r="L142" i="4"/>
  <c r="G142"/>
  <c r="F142"/>
  <c r="H142"/>
  <c r="I142"/>
  <c r="J142"/>
  <c r="K142"/>
  <c r="L14" i="6"/>
  <c r="M14"/>
  <c r="N14"/>
  <c r="L140" i="4"/>
  <c r="L138"/>
  <c r="L136"/>
  <c r="G137"/>
  <c r="G138"/>
  <c r="G139"/>
  <c r="G140"/>
  <c r="G141"/>
  <c r="E141"/>
  <c r="D141"/>
  <c r="E140"/>
  <c r="D140"/>
  <c r="E139"/>
  <c r="D139"/>
  <c r="E138"/>
  <c r="D138"/>
  <c r="E137"/>
  <c r="D137"/>
  <c r="G136"/>
  <c r="E136"/>
  <c r="D136"/>
  <c r="H138"/>
  <c r="H139"/>
  <c r="H140"/>
  <c r="H141"/>
  <c r="I138"/>
  <c r="I139"/>
  <c r="I140"/>
  <c r="I141"/>
  <c r="J138"/>
  <c r="J139"/>
  <c r="J140"/>
  <c r="J141"/>
  <c r="K138"/>
  <c r="K139"/>
  <c r="K140"/>
  <c r="K141"/>
  <c r="H137"/>
  <c r="I137"/>
  <c r="J137"/>
  <c r="K137"/>
  <c r="H136"/>
  <c r="I136"/>
  <c r="J136"/>
  <c r="K136"/>
  <c r="F137" l="1"/>
  <c r="F140"/>
  <c r="F136"/>
  <c r="F141"/>
  <c r="F139"/>
  <c r="F138"/>
  <c r="M13" i="6" l="1"/>
  <c r="N13"/>
  <c r="L13"/>
  <c r="AH5"/>
  <c r="AG5"/>
  <c r="L135" i="4"/>
  <c r="L133"/>
  <c r="L131"/>
  <c r="L127"/>
  <c r="G127"/>
  <c r="G128"/>
  <c r="G129"/>
  <c r="G130"/>
  <c r="G131"/>
  <c r="G132"/>
  <c r="G133"/>
  <c r="G134"/>
  <c r="G135"/>
  <c r="E128"/>
  <c r="E127"/>
  <c r="E135"/>
  <c r="E134"/>
  <c r="E133"/>
  <c r="E132"/>
  <c r="E131"/>
  <c r="E130"/>
  <c r="E129"/>
  <c r="D135"/>
  <c r="D134"/>
  <c r="D133"/>
  <c r="D132"/>
  <c r="D131"/>
  <c r="D130"/>
  <c r="D129"/>
  <c r="D128"/>
  <c r="D127"/>
  <c r="F129" l="1"/>
  <c r="F130"/>
  <c r="F131"/>
  <c r="F132"/>
  <c r="F133"/>
  <c r="F134"/>
  <c r="F135"/>
  <c r="H129"/>
  <c r="H130"/>
  <c r="H131"/>
  <c r="H132"/>
  <c r="H133"/>
  <c r="H134"/>
  <c r="H135"/>
  <c r="I129"/>
  <c r="I130"/>
  <c r="I131"/>
  <c r="I132"/>
  <c r="I133"/>
  <c r="I134"/>
  <c r="I135"/>
  <c r="J129"/>
  <c r="J130"/>
  <c r="J131"/>
  <c r="J132"/>
  <c r="J133"/>
  <c r="J134"/>
  <c r="J135"/>
  <c r="K129"/>
  <c r="K130"/>
  <c r="K131"/>
  <c r="K132"/>
  <c r="K133"/>
  <c r="K134"/>
  <c r="K135"/>
  <c r="F128"/>
  <c r="H128"/>
  <c r="I128"/>
  <c r="J128"/>
  <c r="K128"/>
  <c r="F127"/>
  <c r="H127"/>
  <c r="I127"/>
  <c r="J127"/>
  <c r="K127"/>
  <c r="AP4" i="6"/>
  <c r="AP5"/>
  <c r="AP6"/>
  <c r="AP7"/>
  <c r="AP8"/>
  <c r="AO8"/>
  <c r="AN5"/>
  <c r="AN6"/>
  <c r="AN7"/>
  <c r="AN4"/>
  <c r="AO5"/>
  <c r="AO6"/>
  <c r="AO7"/>
  <c r="AO4"/>
  <c r="G126" i="4" l="1"/>
  <c r="F126"/>
  <c r="L126"/>
  <c r="H126"/>
  <c r="I126"/>
  <c r="J126"/>
  <c r="K126"/>
  <c r="L123"/>
  <c r="L121"/>
  <c r="L116"/>
  <c r="N6" i="6" l="1"/>
  <c r="N7"/>
  <c r="N8"/>
  <c r="N9"/>
  <c r="N10"/>
  <c r="N5"/>
  <c r="Q5" s="1"/>
  <c r="M6"/>
  <c r="M7"/>
  <c r="M8"/>
  <c r="M9"/>
  <c r="M10"/>
  <c r="M5"/>
  <c r="K6"/>
  <c r="K13" s="1"/>
  <c r="K7"/>
  <c r="K14" s="1"/>
  <c r="K8"/>
  <c r="K15" s="1"/>
  <c r="K9"/>
  <c r="K16" s="1"/>
  <c r="K10"/>
  <c r="K17" s="1"/>
  <c r="K5"/>
  <c r="L6"/>
  <c r="L7"/>
  <c r="L8"/>
  <c r="L9"/>
  <c r="L10"/>
  <c r="L5"/>
  <c r="Q6" l="1"/>
  <c r="Q7"/>
  <c r="Q8"/>
  <c r="Q9"/>
  <c r="Q10"/>
  <c r="P6"/>
  <c r="P7"/>
  <c r="P8"/>
  <c r="P9"/>
  <c r="P10"/>
  <c r="P5"/>
  <c r="O6"/>
  <c r="O7"/>
  <c r="O8"/>
  <c r="O9"/>
  <c r="O10"/>
  <c r="O5"/>
  <c r="K3" i="4"/>
  <c r="K4"/>
  <c r="K5"/>
  <c r="K6"/>
  <c r="K7"/>
  <c r="K8"/>
  <c r="K9"/>
  <c r="K10"/>
  <c r="K11"/>
  <c r="K12"/>
  <c r="K13"/>
  <c r="K14"/>
  <c r="K15"/>
  <c r="K16"/>
  <c r="K17"/>
  <c r="K18"/>
  <c r="K19"/>
  <c r="K20"/>
  <c r="K21"/>
  <c r="K22"/>
  <c r="K23"/>
  <c r="K24"/>
  <c r="K25"/>
  <c r="K26"/>
  <c r="K27"/>
  <c r="K28"/>
  <c r="K29"/>
  <c r="K30"/>
  <c r="K31"/>
  <c r="K32"/>
  <c r="K33"/>
  <c r="K34"/>
  <c r="K35"/>
  <c r="K36"/>
  <c r="K37"/>
  <c r="K38"/>
  <c r="K39"/>
  <c r="K40"/>
  <c r="K41"/>
  <c r="K42"/>
  <c r="K43"/>
  <c r="K44"/>
  <c r="K45"/>
  <c r="K46"/>
  <c r="K47"/>
  <c r="K48"/>
  <c r="K49"/>
  <c r="K50"/>
  <c r="K51"/>
  <c r="K52"/>
  <c r="K53"/>
  <c r="K54"/>
  <c r="K55"/>
  <c r="K56"/>
  <c r="K57"/>
  <c r="K58"/>
  <c r="K59"/>
  <c r="K60"/>
  <c r="K61"/>
  <c r="K62"/>
  <c r="K63"/>
  <c r="K64"/>
  <c r="K65"/>
  <c r="K66"/>
  <c r="K67"/>
  <c r="K68"/>
  <c r="K69"/>
  <c r="K70"/>
  <c r="K71"/>
  <c r="K72"/>
  <c r="K73"/>
  <c r="K74"/>
  <c r="K75"/>
  <c r="K76"/>
  <c r="K77"/>
  <c r="K78"/>
  <c r="K79"/>
  <c r="K80"/>
  <c r="K81"/>
  <c r="K82"/>
  <c r="K83"/>
  <c r="K84"/>
  <c r="K85"/>
  <c r="K86"/>
  <c r="K87"/>
  <c r="K88"/>
  <c r="K89"/>
  <c r="K90"/>
  <c r="K91"/>
  <c r="K92"/>
  <c r="K93"/>
  <c r="K94"/>
  <c r="K95"/>
  <c r="K96"/>
  <c r="K97"/>
  <c r="K98"/>
  <c r="K99"/>
  <c r="K100"/>
  <c r="K101"/>
  <c r="K102"/>
  <c r="K103"/>
  <c r="K104"/>
  <c r="K105"/>
  <c r="K106"/>
  <c r="K107"/>
  <c r="K108"/>
  <c r="K109"/>
  <c r="K110"/>
  <c r="K111"/>
  <c r="K112"/>
  <c r="K113"/>
  <c r="K114"/>
  <c r="K115"/>
  <c r="K116"/>
  <c r="K117"/>
  <c r="K118"/>
  <c r="K119"/>
  <c r="K120"/>
  <c r="K121"/>
  <c r="K122"/>
  <c r="K123"/>
  <c r="K124"/>
  <c r="K125"/>
  <c r="K2"/>
  <c r="AH4" i="6"/>
  <c r="V5" l="1"/>
  <c r="AG4"/>
  <c r="AA13"/>
  <c r="AA14"/>
  <c r="AA11"/>
  <c r="AA12"/>
  <c r="Z11" l="1"/>
  <c r="Z12"/>
  <c r="Z13"/>
  <c r="Z14"/>
  <c r="W4"/>
  <c r="V4"/>
  <c r="E45" i="4" l="1"/>
  <c r="E46"/>
  <c r="D46"/>
  <c r="D45"/>
  <c r="F46" l="1"/>
  <c r="F45"/>
  <c r="L115"/>
  <c r="L113"/>
  <c r="L110"/>
  <c r="L107"/>
  <c r="L106"/>
  <c r="L103"/>
  <c r="L101"/>
  <c r="L96"/>
  <c r="L95"/>
  <c r="L92"/>
  <c r="L90"/>
  <c r="L86"/>
  <c r="L84"/>
  <c r="L81"/>
  <c r="L79"/>
  <c r="L74"/>
  <c r="L73"/>
  <c r="L71"/>
  <c r="L70"/>
  <c r="L66"/>
  <c r="L63"/>
  <c r="L65"/>
  <c r="L62"/>
  <c r="L58"/>
  <c r="L56"/>
  <c r="L54"/>
  <c r="L52"/>
  <c r="L48"/>
  <c r="L47"/>
  <c r="L45"/>
  <c r="L42"/>
  <c r="L38"/>
  <c r="L37"/>
  <c r="L35"/>
  <c r="L34"/>
  <c r="L31"/>
  <c r="L30"/>
  <c r="L26"/>
  <c r="L24"/>
  <c r="L21"/>
  <c r="L20"/>
  <c r="L17"/>
  <c r="L16"/>
  <c r="L12"/>
  <c r="L11"/>
  <c r="L7"/>
  <c r="L5"/>
  <c r="L2"/>
  <c r="I3" l="1"/>
  <c r="I4"/>
  <c r="I5"/>
  <c r="I6"/>
  <c r="I7"/>
  <c r="I8"/>
  <c r="I9"/>
  <c r="I10"/>
  <c r="I11"/>
  <c r="I12"/>
  <c r="I13"/>
  <c r="I14"/>
  <c r="I15"/>
  <c r="I16"/>
  <c r="I17"/>
  <c r="I18"/>
  <c r="I19"/>
  <c r="I20"/>
  <c r="I21"/>
  <c r="I22"/>
  <c r="I23"/>
  <c r="I24"/>
  <c r="I25"/>
  <c r="I26"/>
  <c r="I27"/>
  <c r="I28"/>
  <c r="I29"/>
  <c r="I30"/>
  <c r="I31"/>
  <c r="I32"/>
  <c r="I33"/>
  <c r="I34"/>
  <c r="I35"/>
  <c r="I36"/>
  <c r="I37"/>
  <c r="I38"/>
  <c r="I39"/>
  <c r="I40"/>
  <c r="I41"/>
  <c r="I42"/>
  <c r="I43"/>
  <c r="I44"/>
  <c r="I45"/>
  <c r="I46"/>
  <c r="I47"/>
  <c r="I48"/>
  <c r="I49"/>
  <c r="I50"/>
  <c r="I51"/>
  <c r="I52"/>
  <c r="I53"/>
  <c r="I54"/>
  <c r="I55"/>
  <c r="I56"/>
  <c r="I57"/>
  <c r="I58"/>
  <c r="I59"/>
  <c r="I60"/>
  <c r="I61"/>
  <c r="I62"/>
  <c r="I63"/>
  <c r="I64"/>
  <c r="I65"/>
  <c r="I66"/>
  <c r="I67"/>
  <c r="I68"/>
  <c r="I69"/>
  <c r="I70"/>
  <c r="I71"/>
  <c r="I72"/>
  <c r="I73"/>
  <c r="I74"/>
  <c r="I75"/>
  <c r="I76"/>
  <c r="I77"/>
  <c r="I78"/>
  <c r="I79"/>
  <c r="I80"/>
  <c r="I81"/>
  <c r="I82"/>
  <c r="I83"/>
  <c r="I84"/>
  <c r="I85"/>
  <c r="I86"/>
  <c r="I87"/>
  <c r="I88"/>
  <c r="I89"/>
  <c r="I90"/>
  <c r="I91"/>
  <c r="I92"/>
  <c r="I93"/>
  <c r="I94"/>
  <c r="I95"/>
  <c r="I96"/>
  <c r="I97"/>
  <c r="I98"/>
  <c r="I99"/>
  <c r="I100"/>
  <c r="I101"/>
  <c r="I102"/>
  <c r="I103"/>
  <c r="I104"/>
  <c r="I105"/>
  <c r="I106"/>
  <c r="I107"/>
  <c r="I108"/>
  <c r="I109"/>
  <c r="I110"/>
  <c r="I111"/>
  <c r="I112"/>
  <c r="I113"/>
  <c r="I114"/>
  <c r="I115"/>
  <c r="I116"/>
  <c r="I117"/>
  <c r="I118"/>
  <c r="I119"/>
  <c r="I120"/>
  <c r="I121"/>
  <c r="I122"/>
  <c r="I123"/>
  <c r="I124"/>
  <c r="I125"/>
  <c r="I2"/>
  <c r="J2" l="1"/>
  <c r="D118"/>
  <c r="D119"/>
  <c r="D120"/>
  <c r="D121"/>
  <c r="D122"/>
  <c r="D123"/>
  <c r="D124"/>
  <c r="D125"/>
  <c r="H116"/>
  <c r="H117"/>
  <c r="H118"/>
  <c r="H119"/>
  <c r="H120"/>
  <c r="H121"/>
  <c r="H122"/>
  <c r="H123"/>
  <c r="H124"/>
  <c r="G125"/>
  <c r="E125"/>
  <c r="H125"/>
  <c r="J125"/>
  <c r="E124"/>
  <c r="G117"/>
  <c r="G118"/>
  <c r="G119"/>
  <c r="G120"/>
  <c r="G121"/>
  <c r="G122"/>
  <c r="G123"/>
  <c r="G124"/>
  <c r="E118"/>
  <c r="E119"/>
  <c r="E120"/>
  <c r="E121"/>
  <c r="E122"/>
  <c r="E123"/>
  <c r="D117"/>
  <c r="E117"/>
  <c r="J123"/>
  <c r="J124"/>
  <c r="G116"/>
  <c r="E116"/>
  <c r="D116"/>
  <c r="F119" l="1"/>
  <c r="F120"/>
  <c r="F123"/>
  <c r="F121"/>
  <c r="F118"/>
  <c r="F122"/>
  <c r="F124"/>
  <c r="F117"/>
  <c r="F125"/>
  <c r="F116"/>
  <c r="J3"/>
  <c r="J4"/>
  <c r="J5"/>
  <c r="J6"/>
  <c r="J7"/>
  <c r="J8"/>
  <c r="J9"/>
  <c r="J10"/>
  <c r="J11"/>
  <c r="J12"/>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J61"/>
  <c r="J62"/>
  <c r="J63"/>
  <c r="J64"/>
  <c r="J65"/>
  <c r="J66"/>
  <c r="J67"/>
  <c r="J68"/>
  <c r="J69"/>
  <c r="J70"/>
  <c r="J71"/>
  <c r="J72"/>
  <c r="J73"/>
  <c r="J74"/>
  <c r="J75"/>
  <c r="J76"/>
  <c r="J77"/>
  <c r="J78"/>
  <c r="J79"/>
  <c r="J80"/>
  <c r="J81"/>
  <c r="J82"/>
  <c r="J83"/>
  <c r="J84"/>
  <c r="J85"/>
  <c r="J86"/>
  <c r="J87"/>
  <c r="J88"/>
  <c r="J89"/>
  <c r="J90"/>
  <c r="J91"/>
  <c r="J92"/>
  <c r="J93"/>
  <c r="J94"/>
  <c r="J95"/>
  <c r="J96"/>
  <c r="J97"/>
  <c r="J98"/>
  <c r="J99"/>
  <c r="J100"/>
  <c r="J101"/>
  <c r="J102"/>
  <c r="J103"/>
  <c r="J104"/>
  <c r="J105"/>
  <c r="J106"/>
  <c r="J107"/>
  <c r="J108"/>
  <c r="J109"/>
  <c r="J110"/>
  <c r="J111"/>
  <c r="J112"/>
  <c r="J113"/>
  <c r="J114"/>
  <c r="J115"/>
  <c r="J116"/>
  <c r="J117"/>
  <c r="J118"/>
  <c r="J119"/>
  <c r="J120"/>
  <c r="J121"/>
  <c r="J122"/>
  <c r="D26"/>
  <c r="H3"/>
  <c r="H4"/>
  <c r="H5"/>
  <c r="H6"/>
  <c r="H7"/>
  <c r="H8"/>
  <c r="H9"/>
  <c r="H10"/>
  <c r="H11"/>
  <c r="H12"/>
  <c r="H13"/>
  <c r="H14"/>
  <c r="H15"/>
  <c r="H16"/>
  <c r="H17"/>
  <c r="H18"/>
  <c r="H19"/>
  <c r="H20"/>
  <c r="H21"/>
  <c r="H22"/>
  <c r="H23"/>
  <c r="H24"/>
  <c r="H25"/>
  <c r="H26"/>
  <c r="H27"/>
  <c r="H28"/>
  <c r="H29"/>
  <c r="H30"/>
  <c r="H31"/>
  <c r="H32"/>
  <c r="H33"/>
  <c r="H34"/>
  <c r="H35"/>
  <c r="H36"/>
  <c r="H37"/>
  <c r="H38"/>
  <c r="H39"/>
  <c r="H40"/>
  <c r="H41"/>
  <c r="H42"/>
  <c r="H43"/>
  <c r="H44"/>
  <c r="H45"/>
  <c r="H46"/>
  <c r="H47"/>
  <c r="H48"/>
  <c r="H49"/>
  <c r="H50"/>
  <c r="H51"/>
  <c r="H52"/>
  <c r="H53"/>
  <c r="H54"/>
  <c r="H55"/>
  <c r="H56"/>
  <c r="H57"/>
  <c r="H58"/>
  <c r="H59"/>
  <c r="H60"/>
  <c r="H61"/>
  <c r="H62"/>
  <c r="H63"/>
  <c r="H64"/>
  <c r="H65"/>
  <c r="H66"/>
  <c r="H67"/>
  <c r="H68"/>
  <c r="H69"/>
  <c r="H70"/>
  <c r="H71"/>
  <c r="H72"/>
  <c r="H73"/>
  <c r="H74"/>
  <c r="H75"/>
  <c r="H76"/>
  <c r="H77"/>
  <c r="H78"/>
  <c r="H79"/>
  <c r="H80"/>
  <c r="H81"/>
  <c r="H82"/>
  <c r="H83"/>
  <c r="H84"/>
  <c r="H85"/>
  <c r="H86"/>
  <c r="H87"/>
  <c r="H88"/>
  <c r="H89"/>
  <c r="H90"/>
  <c r="H91"/>
  <c r="H92"/>
  <c r="H93"/>
  <c r="H94"/>
  <c r="H95"/>
  <c r="H96"/>
  <c r="H97"/>
  <c r="H98"/>
  <c r="H99"/>
  <c r="H100"/>
  <c r="H101"/>
  <c r="H102"/>
  <c r="H103"/>
  <c r="H104"/>
  <c r="H105"/>
  <c r="H106"/>
  <c r="H107"/>
  <c r="H108"/>
  <c r="H109"/>
  <c r="H110"/>
  <c r="H111"/>
  <c r="H112"/>
  <c r="H113"/>
  <c r="H114"/>
  <c r="H115"/>
  <c r="H2"/>
  <c r="G115"/>
  <c r="G3"/>
  <c r="G4"/>
  <c r="G5"/>
  <c r="G6"/>
  <c r="G7"/>
  <c r="G8"/>
  <c r="G9"/>
  <c r="G10"/>
  <c r="G11"/>
  <c r="G12"/>
  <c r="G13"/>
  <c r="G14"/>
  <c r="G15"/>
  <c r="G16"/>
  <c r="G17"/>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60"/>
  <c r="G61"/>
  <c r="G62"/>
  <c r="G63"/>
  <c r="G64"/>
  <c r="G65"/>
  <c r="G66"/>
  <c r="G67"/>
  <c r="G68"/>
  <c r="G69"/>
  <c r="G70"/>
  <c r="G71"/>
  <c r="G72"/>
  <c r="G73"/>
  <c r="G74"/>
  <c r="G75"/>
  <c r="G76"/>
  <c r="G77"/>
  <c r="G78"/>
  <c r="G79"/>
  <c r="G80"/>
  <c r="G81"/>
  <c r="G82"/>
  <c r="G83"/>
  <c r="G84"/>
  <c r="G85"/>
  <c r="G86"/>
  <c r="G87"/>
  <c r="G88"/>
  <c r="G89"/>
  <c r="G90"/>
  <c r="G91"/>
  <c r="G92"/>
  <c r="G93"/>
  <c r="G94"/>
  <c r="G95"/>
  <c r="G96"/>
  <c r="G97"/>
  <c r="G98"/>
  <c r="G99"/>
  <c r="G100"/>
  <c r="G101"/>
  <c r="G102"/>
  <c r="G103"/>
  <c r="G104"/>
  <c r="G105"/>
  <c r="G106"/>
  <c r="G107"/>
  <c r="G108"/>
  <c r="G109"/>
  <c r="G110"/>
  <c r="G111"/>
  <c r="G112"/>
  <c r="G113"/>
  <c r="G114"/>
  <c r="G2"/>
  <c r="E115"/>
  <c r="D115"/>
  <c r="E114"/>
  <c r="E113"/>
  <c r="D113"/>
  <c r="D114"/>
  <c r="E112"/>
  <c r="D112"/>
  <c r="E111"/>
  <c r="E110"/>
  <c r="D110"/>
  <c r="D111"/>
  <c r="E108"/>
  <c r="E109"/>
  <c r="E107"/>
  <c r="D107"/>
  <c r="D108"/>
  <c r="D109"/>
  <c r="E106"/>
  <c r="D106"/>
  <c r="E105"/>
  <c r="D105"/>
  <c r="E104"/>
  <c r="E103"/>
  <c r="D103"/>
  <c r="D104"/>
  <c r="E102"/>
  <c r="E101"/>
  <c r="D101"/>
  <c r="D102"/>
  <c r="E97"/>
  <c r="E98"/>
  <c r="E99"/>
  <c r="E100"/>
  <c r="E96"/>
  <c r="D96"/>
  <c r="D97"/>
  <c r="D98"/>
  <c r="D99"/>
  <c r="D100"/>
  <c r="E95"/>
  <c r="D95"/>
  <c r="E94"/>
  <c r="D94"/>
  <c r="E93"/>
  <c r="E92"/>
  <c r="D92"/>
  <c r="D93"/>
  <c r="E91"/>
  <c r="D91"/>
  <c r="E90"/>
  <c r="D90"/>
  <c r="E88"/>
  <c r="E89"/>
  <c r="E87"/>
  <c r="D88"/>
  <c r="D89"/>
  <c r="D87"/>
  <c r="E86"/>
  <c r="D86"/>
  <c r="E85"/>
  <c r="E84"/>
  <c r="D84"/>
  <c r="D85"/>
  <c r="E83"/>
  <c r="D83"/>
  <c r="E82"/>
  <c r="E81"/>
  <c r="D82"/>
  <c r="D81"/>
  <c r="E80"/>
  <c r="E79"/>
  <c r="D79"/>
  <c r="D80"/>
  <c r="E75"/>
  <c r="E76"/>
  <c r="E77"/>
  <c r="E78"/>
  <c r="E74"/>
  <c r="D74"/>
  <c r="D75"/>
  <c r="D76"/>
  <c r="D77"/>
  <c r="D78"/>
  <c r="E73"/>
  <c r="D73"/>
  <c r="E72"/>
  <c r="D72"/>
  <c r="E71"/>
  <c r="D71"/>
  <c r="E70"/>
  <c r="D70"/>
  <c r="E67"/>
  <c r="E68"/>
  <c r="E69"/>
  <c r="E66"/>
  <c r="D66"/>
  <c r="D67"/>
  <c r="D68"/>
  <c r="D69"/>
  <c r="E65"/>
  <c r="D65"/>
  <c r="E64"/>
  <c r="D64"/>
  <c r="E63"/>
  <c r="D63"/>
  <c r="E62"/>
  <c r="D62"/>
  <c r="E59"/>
  <c r="E60"/>
  <c r="E61"/>
  <c r="E58"/>
  <c r="D58"/>
  <c r="D59"/>
  <c r="D60"/>
  <c r="D61"/>
  <c r="E57"/>
  <c r="D57"/>
  <c r="E56"/>
  <c r="D56"/>
  <c r="E55"/>
  <c r="D55"/>
  <c r="E54"/>
  <c r="D54"/>
  <c r="E53"/>
  <c r="E52"/>
  <c r="D53"/>
  <c r="D52"/>
  <c r="D51"/>
  <c r="E51"/>
  <c r="D49"/>
  <c r="E49"/>
  <c r="D50"/>
  <c r="E50"/>
  <c r="E48"/>
  <c r="D48"/>
  <c r="E47"/>
  <c r="D47"/>
  <c r="E44"/>
  <c r="E43"/>
  <c r="E42"/>
  <c r="E41"/>
  <c r="E40"/>
  <c r="E39"/>
  <c r="E38"/>
  <c r="E37"/>
  <c r="E36"/>
  <c r="E35"/>
  <c r="E34"/>
  <c r="E33"/>
  <c r="E32"/>
  <c r="E31"/>
  <c r="E30"/>
  <c r="E29"/>
  <c r="E28"/>
  <c r="E27"/>
  <c r="E26"/>
  <c r="E25"/>
  <c r="E24"/>
  <c r="E23"/>
  <c r="E22"/>
  <c r="E21"/>
  <c r="E20"/>
  <c r="E19"/>
  <c r="E18"/>
  <c r="E17"/>
  <c r="E16"/>
  <c r="E15"/>
  <c r="E14"/>
  <c r="E13"/>
  <c r="E12"/>
  <c r="E11"/>
  <c r="E10"/>
  <c r="E9"/>
  <c r="E8"/>
  <c r="E7"/>
  <c r="E6"/>
  <c r="E5"/>
  <c r="E4"/>
  <c r="E3"/>
  <c r="E2"/>
  <c r="F26" l="1"/>
  <c r="F98"/>
  <c r="F74"/>
  <c r="F84"/>
  <c r="F90"/>
  <c r="F92"/>
  <c r="F86"/>
  <c r="F62"/>
  <c r="F60"/>
  <c r="F68"/>
  <c r="F70"/>
  <c r="F54"/>
  <c r="F94"/>
  <c r="F77"/>
  <c r="F104"/>
  <c r="F89"/>
  <c r="F106"/>
  <c r="F80"/>
  <c r="F48"/>
  <c r="F112"/>
  <c r="F76"/>
  <c r="F87"/>
  <c r="F100"/>
  <c r="F56"/>
  <c r="F72"/>
  <c r="F96"/>
  <c r="F75"/>
  <c r="F99"/>
  <c r="F102"/>
  <c r="F47"/>
  <c r="F55"/>
  <c r="F88"/>
  <c r="F52"/>
  <c r="F82"/>
  <c r="F109"/>
  <c r="F114"/>
  <c r="F64"/>
  <c r="F50"/>
  <c r="F83"/>
  <c r="F91"/>
  <c r="F101"/>
  <c r="F115"/>
  <c r="F57"/>
  <c r="F65"/>
  <c r="F73"/>
  <c r="F105"/>
  <c r="F49"/>
  <c r="F58"/>
  <c r="F66"/>
  <c r="F97"/>
  <c r="F110"/>
  <c r="F61"/>
  <c r="F63"/>
  <c r="F69"/>
  <c r="F71"/>
  <c r="F81"/>
  <c r="F95"/>
  <c r="F107"/>
  <c r="F111"/>
  <c r="F113"/>
  <c r="F51"/>
  <c r="F53"/>
  <c r="F59"/>
  <c r="F67"/>
  <c r="F78"/>
  <c r="F79"/>
  <c r="F85"/>
  <c r="F93"/>
  <c r="F103"/>
  <c r="F108"/>
  <c r="D44"/>
  <c r="F44" s="1"/>
  <c r="D42"/>
  <c r="F42" s="1"/>
  <c r="D43"/>
  <c r="F43" s="1"/>
  <c r="D41"/>
  <c r="F41" s="1"/>
  <c r="D38"/>
  <c r="F38" s="1"/>
  <c r="D39"/>
  <c r="F39" s="1"/>
  <c r="D40"/>
  <c r="F40" s="1"/>
  <c r="D37"/>
  <c r="F37" s="1"/>
  <c r="D35"/>
  <c r="F35" s="1"/>
  <c r="D36"/>
  <c r="F36" s="1"/>
  <c r="D34"/>
  <c r="F34" s="1"/>
  <c r="D32"/>
  <c r="F32" s="1"/>
  <c r="D33"/>
  <c r="F33" s="1"/>
  <c r="D31"/>
  <c r="F31" s="1"/>
  <c r="D30"/>
  <c r="F30" s="1"/>
  <c r="D29"/>
  <c r="F29" s="1"/>
  <c r="D27"/>
  <c r="F27" s="1"/>
  <c r="D28"/>
  <c r="F28" s="1"/>
  <c r="D24"/>
  <c r="F24" s="1"/>
  <c r="D25"/>
  <c r="F25" s="1"/>
  <c r="D22"/>
  <c r="F22" s="1"/>
  <c r="D23"/>
  <c r="F23" s="1"/>
  <c r="D21"/>
  <c r="F21" s="1"/>
  <c r="D20" l="1"/>
  <c r="F20" s="1"/>
  <c r="D18"/>
  <c r="F18" s="1"/>
  <c r="D19"/>
  <c r="F19" s="1"/>
  <c r="D17"/>
  <c r="F17" s="1"/>
  <c r="D16"/>
  <c r="F16" s="1"/>
  <c r="D14"/>
  <c r="F14" s="1"/>
  <c r="D15"/>
  <c r="F15" s="1"/>
  <c r="D13"/>
  <c r="F13" s="1"/>
  <c r="D12"/>
  <c r="F12" s="1"/>
  <c r="D11"/>
  <c r="F11" s="1"/>
  <c r="D10"/>
  <c r="F10" s="1"/>
  <c r="D9"/>
  <c r="F9" s="1"/>
  <c r="D8"/>
  <c r="F8" s="1"/>
  <c r="D7"/>
  <c r="F7" s="1"/>
  <c r="D6"/>
  <c r="F6" s="1"/>
  <c r="D5"/>
  <c r="F5" s="1"/>
  <c r="D4"/>
  <c r="F4" s="1"/>
  <c r="D3"/>
  <c r="F3" s="1"/>
  <c r="D2"/>
  <c r="F2" s="1"/>
</calcChain>
</file>

<file path=xl/sharedStrings.xml><?xml version="1.0" encoding="utf-8"?>
<sst xmlns="http://schemas.openxmlformats.org/spreadsheetml/2006/main" count="702" uniqueCount="78">
  <si>
    <t>KBK</t>
  </si>
  <si>
    <t>KPI</t>
  </si>
  <si>
    <t>KNI</t>
  </si>
  <si>
    <t>KPdP</t>
  </si>
  <si>
    <t>P0001</t>
  </si>
  <si>
    <t>Tower</t>
  </si>
  <si>
    <t>PRODUCT ID</t>
  </si>
  <si>
    <t>PRODUCT</t>
  </si>
  <si>
    <t>SUBSIDIARY</t>
  </si>
  <si>
    <t>P0002</t>
  </si>
  <si>
    <t>Steel Structure</t>
  </si>
  <si>
    <t>P0003</t>
  </si>
  <si>
    <t>P0004</t>
  </si>
  <si>
    <t>Electric Pole</t>
  </si>
  <si>
    <t>P0005</t>
  </si>
  <si>
    <t>Fiber Optic Pole</t>
  </si>
  <si>
    <t>P0006</t>
  </si>
  <si>
    <t>P0007</t>
  </si>
  <si>
    <t>P0008</t>
  </si>
  <si>
    <t>P0009</t>
  </si>
  <si>
    <t>P0010</t>
  </si>
  <si>
    <t>P0011</t>
  </si>
  <si>
    <t>P0012</t>
  </si>
  <si>
    <t>P0013</t>
  </si>
  <si>
    <t>P0014</t>
  </si>
  <si>
    <t>P0015</t>
  </si>
  <si>
    <t>Seamless Pipe</t>
  </si>
  <si>
    <t>Bends Pipe</t>
  </si>
  <si>
    <t>CNP</t>
  </si>
  <si>
    <t>Welded Beam</t>
  </si>
  <si>
    <t>Modular</t>
  </si>
  <si>
    <t>Other Product</t>
  </si>
  <si>
    <t>Cut to Lenght</t>
  </si>
  <si>
    <t>Galvanized &amp; Galvalume</t>
  </si>
  <si>
    <t>Steel Creative &amp; Component</t>
  </si>
  <si>
    <t>MONTH</t>
  </si>
  <si>
    <t>REVENUE</t>
  </si>
  <si>
    <t>GROSS PROFIT</t>
  </si>
  <si>
    <t>Custom Product</t>
  </si>
  <si>
    <t>GROSS PROFIT MARGIN</t>
  </si>
  <si>
    <t>MONTHLY</t>
  </si>
  <si>
    <t>YEARLY</t>
  </si>
  <si>
    <t>TONASE</t>
  </si>
  <si>
    <t>Sum of TONASE</t>
  </si>
  <si>
    <t>Sum of REVENUE</t>
  </si>
  <si>
    <t>Sum of GROSS PROFIT</t>
  </si>
  <si>
    <t>Row Labels</t>
  </si>
  <si>
    <t>Grand Total</t>
  </si>
  <si>
    <t>TARGET TONASE</t>
  </si>
  <si>
    <t>Sum of TARGET TONASE</t>
  </si>
  <si>
    <t>`</t>
  </si>
  <si>
    <t>January</t>
  </si>
  <si>
    <t>Sum of GROSS PROFIT MARGIN</t>
  </si>
  <si>
    <t>Baja Ringan</t>
  </si>
  <si>
    <t>SEMESTER</t>
  </si>
  <si>
    <t>GRAFIK TARGET</t>
  </si>
  <si>
    <t>TON</t>
  </si>
  <si>
    <t>PROFIT</t>
  </si>
  <si>
    <t>February</t>
  </si>
  <si>
    <t>TOP PRODUCT &amp; MARGIN</t>
  </si>
  <si>
    <t>TOP TONASE</t>
  </si>
  <si>
    <t>▲▼</t>
  </si>
  <si>
    <t>March</t>
  </si>
  <si>
    <t>Month</t>
  </si>
  <si>
    <t>Kum Target Tonase</t>
  </si>
  <si>
    <t>Kum Aktual Tonase</t>
  </si>
  <si>
    <t>April</t>
  </si>
  <si>
    <t>May</t>
  </si>
  <si>
    <t>June</t>
  </si>
  <si>
    <t>October</t>
  </si>
  <si>
    <t>July</t>
  </si>
  <si>
    <t>August</t>
  </si>
  <si>
    <t>September</t>
  </si>
  <si>
    <t>November</t>
  </si>
  <si>
    <t>December</t>
  </si>
  <si>
    <t>P0016</t>
  </si>
  <si>
    <t>Floordeck</t>
  </si>
  <si>
    <t>Values</t>
  </si>
</sst>
</file>

<file path=xl/styles.xml><?xml version="1.0" encoding="utf-8"?>
<styleSheet xmlns="http://schemas.openxmlformats.org/spreadsheetml/2006/main">
  <numFmts count="11">
    <numFmt numFmtId="43" formatCode="_-* #,##0.00_-;\-* #,##0.00_-;_-* &quot;-&quot;??_-;_-@_-"/>
    <numFmt numFmtId="164" formatCode="0.0"/>
    <numFmt numFmtId="165" formatCode="_-* #,##0_-;\-* #,##0_-;_-* &quot;-&quot;??_-;_-@_-"/>
    <numFmt numFmtId="166" formatCode="0.0%"/>
    <numFmt numFmtId="167" formatCode="&quot;Rp&quot;#,##0"/>
    <numFmt numFmtId="168" formatCode="\Q#"/>
    <numFmt numFmtId="169" formatCode="#,##0;\(#,##0\)"/>
    <numFmt numFmtId="170" formatCode="#,###\ \T"/>
    <numFmt numFmtId="171" formatCode="[Green]\▲0%;[Red]\▼\(0\)%"/>
    <numFmt numFmtId="172" formatCode="0;\-0;&quot;&quot;"/>
    <numFmt numFmtId="173" formatCode="_-* #,##0.0_-;\-* #,##0.0_-;_-* &quot;-&quot;??_-;_-@_-"/>
  </numFmts>
  <fonts count="5">
    <font>
      <sz val="11"/>
      <color theme="1"/>
      <name val="Tw Cen MT"/>
      <family val="2"/>
      <scheme val="minor"/>
    </font>
    <font>
      <sz val="11"/>
      <color theme="1"/>
      <name val="Tw Cen MT"/>
      <family val="2"/>
      <scheme val="minor"/>
    </font>
    <font>
      <sz val="8"/>
      <name val="Tw Cen MT"/>
      <family val="2"/>
      <scheme val="minor"/>
    </font>
    <font>
      <sz val="8"/>
      <color rgb="FF000000"/>
      <name val="Segoe UI"/>
      <family val="2"/>
    </font>
    <font>
      <sz val="11"/>
      <color theme="1"/>
      <name val="Arial"/>
      <family val="2"/>
    </font>
  </fonts>
  <fills count="6">
    <fill>
      <patternFill patternType="none"/>
    </fill>
    <fill>
      <patternFill patternType="gray125"/>
    </fill>
    <fill>
      <patternFill patternType="solid">
        <fgColor theme="6" tint="0.39997558519241921"/>
        <bgColor indexed="65"/>
      </patternFill>
    </fill>
    <fill>
      <patternFill patternType="solid">
        <fgColor theme="6" tint="0.39997558519241921"/>
        <bgColor indexed="64"/>
      </patternFill>
    </fill>
    <fill>
      <patternFill patternType="solid">
        <fgColor theme="7" tint="0.79998168889431442"/>
        <bgColor indexed="64"/>
      </patternFill>
    </fill>
    <fill>
      <patternFill patternType="solid">
        <fgColor theme="8"/>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1" fillId="2" borderId="0" applyNumberFormat="0" applyBorder="0" applyAlignment="0" applyProtection="0"/>
    <xf numFmtId="9" fontId="1" fillId="0" borderId="0" applyFont="0" applyFill="0" applyBorder="0" applyAlignment="0" applyProtection="0"/>
  </cellStyleXfs>
  <cellXfs count="63">
    <xf numFmtId="0" fontId="0" fillId="0" borderId="0" xfId="0"/>
    <xf numFmtId="0" fontId="0" fillId="0" borderId="0" xfId="0" applyAlignment="1">
      <alignment horizontal="center" vertical="center"/>
    </xf>
    <xf numFmtId="1" fontId="0" fillId="0" borderId="0" xfId="0" applyNumberFormat="1"/>
    <xf numFmtId="0" fontId="0" fillId="0" borderId="0" xfId="0" applyAlignment="1">
      <alignment horizontal="center"/>
    </xf>
    <xf numFmtId="17" fontId="0" fillId="0" borderId="0" xfId="0" applyNumberFormat="1" applyAlignment="1">
      <alignment horizontal="center"/>
    </xf>
    <xf numFmtId="165" fontId="0" fillId="0" borderId="0" xfId="1" applyNumberFormat="1" applyFont="1" applyAlignment="1">
      <alignment horizontal="center"/>
    </xf>
    <xf numFmtId="0" fontId="0" fillId="0" borderId="0" xfId="0" applyAlignment="1">
      <alignment horizontal="right"/>
    </xf>
    <xf numFmtId="165" fontId="0" fillId="0" borderId="0" xfId="1" applyNumberFormat="1" applyFont="1" applyAlignment="1">
      <alignment horizontal="right"/>
    </xf>
    <xf numFmtId="164" fontId="0" fillId="0" borderId="0" xfId="0" applyNumberFormat="1" applyAlignment="1">
      <alignment horizontal="right"/>
    </xf>
    <xf numFmtId="166" fontId="0" fillId="0" borderId="0" xfId="1" applyNumberFormat="1" applyFont="1" applyAlignment="1">
      <alignment horizontal="center"/>
    </xf>
    <xf numFmtId="0" fontId="0" fillId="0" borderId="0" xfId="0" applyAlignment="1">
      <alignment horizontal="left"/>
    </xf>
    <xf numFmtId="2" fontId="0" fillId="0" borderId="0" xfId="0" applyNumberFormat="1" applyAlignment="1">
      <alignment horizontal="right"/>
    </xf>
    <xf numFmtId="4" fontId="0" fillId="0" borderId="0" xfId="0" applyNumberFormat="1" applyAlignment="1">
      <alignment horizontal="right"/>
    </xf>
    <xf numFmtId="167" fontId="0" fillId="0" borderId="0" xfId="0" applyNumberFormat="1"/>
    <xf numFmtId="168" fontId="0" fillId="0" borderId="0" xfId="0" applyNumberFormat="1" applyAlignment="1">
      <alignment horizontal="center"/>
    </xf>
    <xf numFmtId="0" fontId="0" fillId="0" borderId="0" xfId="0" applyAlignment="1">
      <alignment horizontal="left" indent="1"/>
    </xf>
    <xf numFmtId="9" fontId="0" fillId="0" borderId="0" xfId="0" applyNumberFormat="1"/>
    <xf numFmtId="0" fontId="1" fillId="3" borderId="0" xfId="2" applyFill="1"/>
    <xf numFmtId="165" fontId="0" fillId="0" borderId="0" xfId="0" applyNumberFormat="1"/>
    <xf numFmtId="9" fontId="0" fillId="0" borderId="0" xfId="3" applyFont="1"/>
    <xf numFmtId="1" fontId="0" fillId="0" borderId="0" xfId="0" applyNumberFormat="1" applyAlignment="1">
      <alignment horizontal="center"/>
    </xf>
    <xf numFmtId="169" fontId="0" fillId="0" borderId="0" xfId="1" applyNumberFormat="1" applyFont="1" applyAlignment="1">
      <alignment horizontal="right"/>
    </xf>
    <xf numFmtId="9" fontId="0" fillId="0" borderId="0" xfId="3" applyFont="1" applyAlignment="1">
      <alignment horizontal="center" vertical="center"/>
    </xf>
    <xf numFmtId="170" fontId="0" fillId="0" borderId="0" xfId="0" applyNumberFormat="1" applyAlignment="1">
      <alignment horizontal="center" vertical="center"/>
    </xf>
    <xf numFmtId="4" fontId="0" fillId="0" borderId="0" xfId="0" applyNumberFormat="1"/>
    <xf numFmtId="0" fontId="0" fillId="0" borderId="0" xfId="0" pivotButton="1" applyAlignment="1">
      <alignment horizontal="center" vertical="center" wrapText="1"/>
    </xf>
    <xf numFmtId="0" fontId="0" fillId="0" borderId="0" xfId="0" applyAlignment="1">
      <alignment horizontal="center" vertical="center" wrapText="1"/>
    </xf>
    <xf numFmtId="43" fontId="0" fillId="0" borderId="0" xfId="1" applyFont="1"/>
    <xf numFmtId="0" fontId="0" fillId="0" borderId="0" xfId="1" applyNumberFormat="1" applyFont="1" applyAlignment="1">
      <alignment horizontal="center" vertical="center" wrapText="1"/>
    </xf>
    <xf numFmtId="165" fontId="0" fillId="0" borderId="1" xfId="0" applyNumberFormat="1" applyBorder="1"/>
    <xf numFmtId="170" fontId="0" fillId="0" borderId="1" xfId="0" applyNumberFormat="1" applyBorder="1" applyAlignment="1">
      <alignment horizontal="center" vertical="center"/>
    </xf>
    <xf numFmtId="0" fontId="0" fillId="4" borderId="1" xfId="0" applyFill="1" applyBorder="1" applyAlignment="1">
      <alignment horizontal="center" vertical="center"/>
    </xf>
    <xf numFmtId="9" fontId="0" fillId="0" borderId="1" xfId="3" applyFont="1" applyBorder="1" applyAlignment="1">
      <alignment horizontal="center" vertical="center"/>
    </xf>
    <xf numFmtId="167" fontId="0" fillId="0" borderId="1" xfId="0" applyNumberFormat="1" applyBorder="1"/>
    <xf numFmtId="43" fontId="0" fillId="0" borderId="1" xfId="1" applyFont="1" applyBorder="1"/>
    <xf numFmtId="167" fontId="0" fillId="4" borderId="1" xfId="0" applyNumberFormat="1" applyFill="1" applyBorder="1"/>
    <xf numFmtId="0" fontId="0" fillId="4" borderId="1" xfId="0" applyFill="1" applyBorder="1"/>
    <xf numFmtId="0" fontId="0" fillId="5" borderId="1" xfId="0" applyFill="1" applyBorder="1" applyAlignment="1">
      <alignment horizontal="center" vertical="center"/>
    </xf>
    <xf numFmtId="43" fontId="0" fillId="0" borderId="1" xfId="1" applyFont="1" applyBorder="1" applyAlignment="1">
      <alignment horizontal="center" vertical="center"/>
    </xf>
    <xf numFmtId="0" fontId="0" fillId="0" borderId="0" xfId="0" pivotButton="1" applyAlignment="1">
      <alignment horizontal="center" vertical="center"/>
    </xf>
    <xf numFmtId="43" fontId="0" fillId="0" borderId="0" xfId="0" applyNumberFormat="1" applyAlignment="1">
      <alignment horizontal="center" vertical="center"/>
    </xf>
    <xf numFmtId="165" fontId="0" fillId="0" borderId="0" xfId="0" applyNumberFormat="1" applyAlignment="1">
      <alignment horizontal="center" vertical="center"/>
    </xf>
    <xf numFmtId="0" fontId="0" fillId="0" borderId="1" xfId="0" applyBorder="1" applyAlignment="1">
      <alignment horizontal="center" vertical="center"/>
    </xf>
    <xf numFmtId="9" fontId="0" fillId="0" borderId="1" xfId="0" applyNumberFormat="1" applyBorder="1" applyAlignment="1">
      <alignment horizontal="center" vertical="center"/>
    </xf>
    <xf numFmtId="167" fontId="4" fillId="0" borderId="0" xfId="0" applyNumberFormat="1" applyFont="1"/>
    <xf numFmtId="171" fontId="0" fillId="0" borderId="0" xfId="3" applyNumberFormat="1" applyFont="1" applyAlignment="1">
      <alignment horizontal="center" vertical="center"/>
    </xf>
    <xf numFmtId="1" fontId="0" fillId="0" borderId="0" xfId="0" pivotButton="1" applyNumberFormat="1"/>
    <xf numFmtId="1" fontId="0" fillId="0" borderId="0" xfId="0" applyNumberFormat="1" applyAlignment="1">
      <alignment horizontal="left"/>
    </xf>
    <xf numFmtId="172" fontId="0" fillId="0" borderId="0" xfId="0" applyNumberFormat="1" applyAlignment="1">
      <alignment horizontal="center"/>
    </xf>
    <xf numFmtId="1" fontId="0" fillId="0" borderId="0" xfId="0" applyNumberFormat="1" applyAlignment="1">
      <alignment horizontal="left" indent="1"/>
    </xf>
    <xf numFmtId="172" fontId="0" fillId="0" borderId="1" xfId="0" applyNumberFormat="1" applyBorder="1"/>
    <xf numFmtId="166" fontId="0" fillId="0" borderId="0" xfId="3" applyNumberFormat="1" applyFont="1" applyAlignment="1">
      <alignment horizontal="center"/>
    </xf>
    <xf numFmtId="173" fontId="0" fillId="0" borderId="0" xfId="0" applyNumberFormat="1"/>
    <xf numFmtId="2" fontId="0" fillId="0" borderId="0" xfId="0" applyNumberFormat="1"/>
    <xf numFmtId="0" fontId="0" fillId="0" borderId="0" xfId="0" applyNumberFormat="1"/>
    <xf numFmtId="43" fontId="0" fillId="0" borderId="0" xfId="0" applyNumberFormat="1"/>
    <xf numFmtId="164" fontId="0" fillId="0" borderId="0" xfId="0" applyNumberFormat="1"/>
    <xf numFmtId="0" fontId="0" fillId="4" borderId="1" xfId="0" applyFill="1" applyBorder="1" applyAlignment="1">
      <alignment horizontal="center" vertical="center"/>
    </xf>
    <xf numFmtId="0" fontId="0" fillId="0" borderId="1" xfId="1" applyNumberFormat="1" applyFont="1" applyBorder="1" applyAlignment="1">
      <alignment horizontal="center" vertical="center" wrapText="1"/>
    </xf>
    <xf numFmtId="0" fontId="0" fillId="0" borderId="0" xfId="0" applyBorder="1" applyAlignment="1">
      <alignment horizontal="center"/>
    </xf>
    <xf numFmtId="1" fontId="0" fillId="0" borderId="0" xfId="0" applyNumberFormat="1" applyBorder="1" applyAlignment="1">
      <alignment horizontal="center"/>
    </xf>
    <xf numFmtId="0" fontId="0" fillId="0" borderId="0" xfId="0" applyBorder="1"/>
    <xf numFmtId="0" fontId="0" fillId="0" borderId="0" xfId="0" pivotButton="1"/>
  </cellXfs>
  <cellStyles count="4">
    <cellStyle name="60% - Accent3" xfId="2" builtinId="40"/>
    <cellStyle name="Comma" xfId="1" builtinId="3"/>
    <cellStyle name="Normal" xfId="0" builtinId="0"/>
    <cellStyle name="Percent" xfId="3" builtinId="5"/>
  </cellStyles>
  <dxfs count="147">
    <dxf>
      <numFmt numFmtId="1" formatCode="0"/>
    </dxf>
    <dxf>
      <numFmt numFmtId="165" formatCode="_-* #,##0_-;\-* #,##0_-;_-* &quot;-&quot;??_-;_-@_-"/>
    </dxf>
    <dxf>
      <alignment wrapText="1"/>
    </dxf>
    <dxf>
      <alignment wrapText="1"/>
    </dxf>
    <dxf>
      <alignment vertical="center"/>
    </dxf>
    <dxf>
      <alignment vertical="center"/>
    </dxf>
    <dxf>
      <alignment horizontal="center"/>
    </dxf>
    <dxf>
      <alignment horizontal="center"/>
    </dxf>
    <dxf>
      <numFmt numFmtId="35" formatCode="_-* #,##0.00_-;\-* #,##0.00_-;_-* &quot;-&quot;??_-;_-@_-"/>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numFmt numFmtId="165" formatCode="_-* #,##0_-;\-* #,##0_-;_-* &quot;-&quot;??_-;_-@_-"/>
    </dxf>
    <dxf>
      <numFmt numFmtId="4" formatCode="#,##0.00"/>
    </dxf>
    <dxf>
      <numFmt numFmtId="13" formatCode="0%"/>
    </dxf>
    <dxf>
      <alignment horizontal="center"/>
    </dxf>
    <dxf>
      <alignment horizontal="center"/>
    </dxf>
    <dxf>
      <alignment vertical="center"/>
    </dxf>
    <dxf>
      <alignment vertical="center"/>
    </dxf>
    <dxf>
      <alignment wrapText="1"/>
    </dxf>
    <dxf>
      <alignment wrapText="1"/>
    </dxf>
    <dxf>
      <numFmt numFmtId="165" formatCode="_-* #,##0_-;\-* #,##0_-;_-* &quot;-&quot;??_-;_-@_-"/>
    </dxf>
    <dxf>
      <numFmt numFmtId="167" formatCode="&quot;Rp&quot;#,##0"/>
    </dxf>
    <dxf>
      <numFmt numFmtId="167" formatCode="&quot;Rp&quot;#,##0"/>
    </dxf>
    <dxf>
      <alignment wrapText="1"/>
    </dxf>
    <dxf>
      <alignment wrapText="1"/>
    </dxf>
    <dxf>
      <alignment vertical="center"/>
    </dxf>
    <dxf>
      <alignment vertical="center"/>
    </dxf>
    <dxf>
      <alignment horizontal="center"/>
    </dxf>
    <dxf>
      <alignment horizontal="center"/>
    </dxf>
    <dxf>
      <numFmt numFmtId="1" formatCode="0"/>
    </dxf>
    <dxf>
      <numFmt numFmtId="1" formatCode="0"/>
    </dxf>
    <dxf>
      <alignment vertical="center"/>
    </dxf>
    <dxf>
      <alignment vertical="center"/>
    </dxf>
    <dxf>
      <alignment horizontal="center"/>
    </dxf>
    <dxf>
      <alignment horizontal="center"/>
    </dxf>
    <dxf>
      <alignment wrapText="1"/>
    </dxf>
    <dxf>
      <alignment wrapText="1"/>
    </dxf>
    <dxf>
      <numFmt numFmtId="165" formatCode="_-* #,##0_-;\-* #,##0_-;_-* &quot;-&quot;??_-;_-@_-"/>
    </dxf>
    <dxf>
      <numFmt numFmtId="165" formatCode="_-* #,##0_-;\-* #,##0_-;_-* &quot;-&quot;??_-;_-@_-"/>
    </dxf>
    <dxf>
      <numFmt numFmtId="174" formatCode="&quot;Rp&quot;#,##0.00"/>
    </dxf>
    <dxf>
      <numFmt numFmtId="174" formatCode="&quot;Rp&quot;#,##0.00"/>
    </dxf>
    <dxf>
      <numFmt numFmtId="167" formatCode="&quot;Rp&quot;#,##0"/>
    </dxf>
    <dxf>
      <alignment wrapText="1"/>
    </dxf>
    <dxf>
      <alignment wrapText="1"/>
    </dxf>
    <dxf>
      <alignment horizontal="center"/>
    </dxf>
    <dxf>
      <alignment horizontal="center"/>
    </dxf>
    <dxf>
      <alignment vertical="center"/>
    </dxf>
    <dxf>
      <alignment vertical="center"/>
    </dxf>
    <dxf>
      <numFmt numFmtId="165" formatCode="_-* #,##0_-;\-* #,##0_-;_-* &quot;-&quot;??_-;_-@_-"/>
    </dxf>
    <dxf>
      <alignment wrapText="1"/>
    </dxf>
    <dxf>
      <alignment wrapText="1"/>
    </dxf>
    <dxf>
      <alignment vertical="center"/>
    </dxf>
    <dxf>
      <alignment vertical="center"/>
    </dxf>
    <dxf>
      <alignment horizontal="center"/>
    </dxf>
    <dxf>
      <alignment horizontal="center"/>
    </dxf>
    <dxf>
      <numFmt numFmtId="0" formatCode="General"/>
      <alignment horizontal="right" vertical="bottom" textRotation="0" wrapText="0" indent="0" relativeIndent="255" justifyLastLine="0" shrinkToFit="0" readingOrder="0"/>
    </dxf>
    <dxf>
      <alignment horizontal="center"/>
    </dxf>
    <dxf>
      <alignment horizontal="center"/>
    </dxf>
    <dxf>
      <alignment vertical="center"/>
    </dxf>
    <dxf>
      <alignment vertical="center"/>
    </dxf>
    <dxf>
      <alignment wrapText="1"/>
    </dxf>
    <dxf>
      <alignment wrapText="1"/>
    </dxf>
    <dxf>
      <numFmt numFmtId="165" formatCode="_-* #,##0_-;\-* #,##0_-;_-* &quot;-&quot;??_-;_-@_-"/>
    </dxf>
    <dxf>
      <alignment vertical="center"/>
    </dxf>
    <dxf>
      <alignment vertical="center"/>
    </dxf>
    <dxf>
      <alignment horizontal="center"/>
    </dxf>
    <dxf>
      <alignment horizontal="center"/>
    </dxf>
    <dxf>
      <alignment wrapText="1"/>
    </dxf>
    <dxf>
      <alignment wrapText="1"/>
    </dxf>
    <dxf>
      <numFmt numFmtId="167" formatCode="&quot;Rp&quot;#,##0"/>
    </dxf>
    <dxf>
      <numFmt numFmtId="174" formatCode="&quot;Rp&quot;#,##0.00"/>
    </dxf>
    <dxf>
      <numFmt numFmtId="174" formatCode="&quot;Rp&quot;#,##0.00"/>
    </dxf>
    <dxf>
      <numFmt numFmtId="165" formatCode="_-* #,##0_-;\-* #,##0_-;_-* &quot;-&quot;??_-;_-@_-"/>
    </dxf>
    <dxf>
      <numFmt numFmtId="165" formatCode="_-* #,##0_-;\-* #,##0_-;_-* &quot;-&quot;??_-;_-@_-"/>
    </dxf>
    <dxf>
      <alignment wrapText="1"/>
    </dxf>
    <dxf>
      <alignment wrapText="1"/>
    </dxf>
    <dxf>
      <alignment horizontal="center"/>
    </dxf>
    <dxf>
      <alignment horizontal="center"/>
    </dxf>
    <dxf>
      <alignment vertical="center"/>
    </dxf>
    <dxf>
      <alignment vertical="center"/>
    </dxf>
    <dxf>
      <numFmt numFmtId="1" formatCode="0"/>
    </dxf>
    <dxf>
      <numFmt numFmtId="1" formatCode="0"/>
    </dxf>
    <dxf>
      <alignment horizontal="center"/>
    </dxf>
    <dxf>
      <alignment horizontal="center"/>
    </dxf>
    <dxf>
      <alignment vertical="center"/>
    </dxf>
    <dxf>
      <alignment vertical="center"/>
    </dxf>
    <dxf>
      <alignment wrapText="1"/>
    </dxf>
    <dxf>
      <alignment wrapText="1"/>
    </dxf>
    <dxf>
      <numFmt numFmtId="167" formatCode="&quot;Rp&quot;#,##0"/>
    </dxf>
    <dxf>
      <numFmt numFmtId="167" formatCode="&quot;Rp&quot;#,##0"/>
    </dxf>
    <dxf>
      <numFmt numFmtId="165" formatCode="_-* #,##0_-;\-* #,##0_-;_-* &quot;-&quot;??_-;_-@_-"/>
    </dxf>
    <dxf>
      <alignment wrapText="1"/>
    </dxf>
    <dxf>
      <alignment wrapText="1"/>
    </dxf>
    <dxf>
      <alignment vertical="center"/>
    </dxf>
    <dxf>
      <alignment vertical="center"/>
    </dxf>
    <dxf>
      <alignment horizontal="center"/>
    </dxf>
    <dxf>
      <alignment horizontal="center"/>
    </dxf>
    <dxf>
      <numFmt numFmtId="13" formatCode="0%"/>
    </dxf>
    <dxf>
      <numFmt numFmtId="4" formatCode="#,##0.00"/>
    </dxf>
    <dxf>
      <numFmt numFmtId="165" formatCode="_-* #,##0_-;\-* #,##0_-;_-* &quot;-&quot;??_-;_-@_-"/>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numFmt numFmtId="35" formatCode="_-* #,##0.00_-;\-* #,##0.00_-;_-* &quot;-&quot;??_-;_-@_-"/>
    </dxf>
    <dxf>
      <alignment horizontal="center"/>
    </dxf>
    <dxf>
      <alignment horizontal="center"/>
    </dxf>
    <dxf>
      <alignment vertical="center"/>
    </dxf>
    <dxf>
      <alignment vertical="center"/>
    </dxf>
    <dxf>
      <alignment wrapText="1"/>
    </dxf>
    <dxf>
      <alignment wrapText="1"/>
    </dxf>
    <dxf>
      <numFmt numFmtId="165" formatCode="_-* #,##0_-;\-* #,##0_-;_-* &quot;-&quot;??_-;_-@_-"/>
    </dxf>
    <dxf>
      <numFmt numFmtId="1" formatCode="0"/>
    </dxf>
    <dxf>
      <numFmt numFmtId="1" formatCode="0"/>
      <alignment horizontal="center" textRotation="0" wrapText="0" indent="0" relativeIndent="255" justifyLastLine="0" shrinkToFit="0" readingOrder="0"/>
    </dxf>
    <dxf>
      <alignment horizontal="center" textRotation="0" wrapText="0" indent="0" relativeIndent="255" justifyLastLine="0" shrinkToFit="0" readingOrder="0"/>
    </dxf>
    <dxf>
      <alignment horizontal="center" textRotation="0" wrapText="0" indent="0" relativeIndent="255" justifyLastLine="0" shrinkToFit="0" readingOrder="0"/>
    </dxf>
    <dxf>
      <alignment horizontal="center" textRotation="0" wrapText="0" indent="0" relativeIndent="255" justifyLastLine="0" shrinkToFit="0" readingOrder="0"/>
    </dxf>
    <dxf>
      <alignment horizontal="center" textRotation="0" wrapText="0" indent="0" relativeIndent="255" justifyLastLine="0" shrinkToFit="0" readingOrder="0"/>
    </dxf>
    <dxf>
      <alignment horizontal="center" textRotation="0" wrapText="0" indent="0" relativeIndent="255" justifyLastLine="0" shrinkToFit="0" readingOrder="0"/>
    </dxf>
    <dxf>
      <font>
        <b val="0"/>
        <i val="0"/>
        <strike val="0"/>
        <condense val="0"/>
        <extend val="0"/>
        <outline val="0"/>
        <shadow val="0"/>
        <u val="none"/>
        <vertAlign val="baseline"/>
        <sz val="11"/>
        <color theme="1"/>
        <name val="Tw Cen MT"/>
        <scheme val="minor"/>
      </font>
      <numFmt numFmtId="165" formatCode="_-* #,##0_-;\-* #,##0_-;_-* &quot;-&quot;??_-;_-@_-"/>
      <alignment horizontal="center" vertical="bottom" textRotation="0" wrapText="0" indent="0" relativeIndent="255" justifyLastLine="0" shrinkToFit="0" readingOrder="0"/>
    </dxf>
    <dxf>
      <numFmt numFmtId="165" formatCode="_-* #,##0_-;\-* #,##0_-;_-* &quot;-&quot;??_-;_-@_-"/>
      <alignment horizontal="center" vertical="bottom" textRotation="0" wrapText="0" indent="0" relativeIndent="255" justifyLastLine="0" shrinkToFit="0" readingOrder="0"/>
    </dxf>
    <dxf>
      <numFmt numFmtId="165" formatCode="_-* #,##0_-;\-* #,##0_-;_-* &quot;-&quot;??_-;_-@_-"/>
      <alignment horizontal="right" vertical="bottom" textRotation="0" wrapText="0" indent="0" relativeIndent="255" justifyLastLine="0" shrinkToFit="0" readingOrder="0"/>
    </dxf>
    <dxf>
      <alignment horizontal="center" textRotation="0" wrapText="0" indent="0" relativeIndent="255" justifyLastLine="0" shrinkToFit="0" readingOrder="0"/>
    </dxf>
    <dxf>
      <alignment horizontal="center" textRotation="0" wrapText="0" indent="0" relativeIndent="255" justifyLastLine="0" shrinkToFit="0" readingOrder="0"/>
    </dxf>
    <dxf>
      <alignment horizontal="center" textRotation="0" wrapText="0" indent="0" relativeIndent="255" justifyLastLine="0" shrinkToFit="0" readingOrder="0"/>
    </dxf>
    <dxf>
      <alignment horizontal="center" vertical="center" textRotation="0" wrapText="0" indent="0" relativeIndent="255" justifyLastLine="0" shrinkToFit="0" readingOrder="0"/>
    </dxf>
    <dxf>
      <alignment horizontal="center" vertical="center" textRotation="0" wrapText="0" indent="0" relativeIndent="255" justifyLastLine="0" shrinkToFit="0" readingOrder="0"/>
    </dxf>
    <dxf>
      <font>
        <sz val="12"/>
        <color theme="4"/>
        <name val="Tw Cen MT"/>
        <scheme val="minor"/>
      </font>
      <border diagonalUp="0" diagonalDown="0">
        <left/>
        <right/>
        <top/>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SlicerStyleDark KS" pivot="0" table="0" count="2">
      <tableStyleElement type="wholeTable" dxfId="146"/>
      <tableStyleElement type="headerRow" dxfId="145"/>
    </tableStyle>
  </tableStyles>
  <colors>
    <mruColors>
      <color rgb="FF00BFFF"/>
      <color rgb="FF4169E1"/>
      <color rgb="FFADD8E6"/>
      <color rgb="FF0000FF"/>
      <color rgb="FF191970"/>
      <color rgb="FF4682B4"/>
      <color rgb="FF1E90FF"/>
      <color rgb="FF98FB98"/>
      <color rgb="FF0000CD"/>
      <color rgb="FF87CEEB"/>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 K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externalLink" Target="externalLinks/externalLink1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24"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externalLink" Target="externalLinks/externalLink10.xml"/><Relationship Id="rId23" Type="http://schemas.microsoft.com/office/2007/relationships/slicerCache" Target="slicerCaches/slicerCache2.xml"/><Relationship Id="rId28" Type="http://schemas.openxmlformats.org/officeDocument/2006/relationships/sharedStrings" Target="sharedStrings.xml"/><Relationship Id="rId10" Type="http://schemas.openxmlformats.org/officeDocument/2006/relationships/externalLink" Target="externalLinks/externalLink5.xml"/><Relationship Id="rId19" Type="http://schemas.openxmlformats.org/officeDocument/2006/relationships/externalLink" Target="externalLinks/externalLink14.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microsoft.com/office/2007/relationships/slicerCache" Target="slicerCaches/slicerCache1.xml"/><Relationship Id="rId27"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strRef>
              <c:f>'Working Sheet'!$AX$4</c:f>
              <c:strCache>
                <c:ptCount val="1"/>
                <c:pt idx="0">
                  <c:v>Kum Target Tonase</c:v>
                </c:pt>
              </c:strCache>
            </c:strRef>
          </c:tx>
          <c:spPr>
            <a:ln w="12700" cap="rnd">
              <a:solidFill>
                <a:schemeClr val="accent1"/>
              </a:solidFill>
              <a:prstDash val="sysDash"/>
              <a:round/>
            </a:ln>
            <a:effectLst/>
          </c:spPr>
          <c:marker>
            <c:symbol val="circle"/>
            <c:size val="3"/>
            <c:spPr>
              <a:noFill/>
              <a:ln w="12700">
                <a:solidFill>
                  <a:schemeClr val="accent1"/>
                </a:solidFill>
                <a:prstDash val="sysDash"/>
              </a:ln>
              <a:effectLst/>
            </c:spPr>
          </c:marker>
          <c:cat>
            <c:numRef>
              <c:f>'Working Sheet'!$AW$5:$AW$16</c:f>
              <c:numCache>
                <c:formatCode>0</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'Working Sheet'!$AX$5:$AX$16</c:f>
              <c:numCache>
                <c:formatCode>0</c:formatCode>
                <c:ptCount val="12"/>
                <c:pt idx="0">
                  <c:v>1500</c:v>
                </c:pt>
                <c:pt idx="1">
                  <c:v>3000</c:v>
                </c:pt>
                <c:pt idx="2">
                  <c:v>4500</c:v>
                </c:pt>
                <c:pt idx="3">
                  <c:v>6000</c:v>
                </c:pt>
                <c:pt idx="4">
                  <c:v>7750</c:v>
                </c:pt>
                <c:pt idx="5">
                  <c:v>9750</c:v>
                </c:pt>
                <c:pt idx="6">
                  <c:v>11750</c:v>
                </c:pt>
                <c:pt idx="7">
                  <c:v>14250</c:v>
                </c:pt>
                <c:pt idx="8">
                  <c:v>17000</c:v>
                </c:pt>
                <c:pt idx="9">
                  <c:v>19750</c:v>
                </c:pt>
                <c:pt idx="10">
                  <c:v>22500</c:v>
                </c:pt>
                <c:pt idx="11">
                  <c:v>25250</c:v>
                </c:pt>
              </c:numCache>
            </c:numRef>
          </c:val>
          <c:extLst xmlns:c16r2="http://schemas.microsoft.com/office/drawing/2015/06/chart">
            <c:ext xmlns:c16="http://schemas.microsoft.com/office/drawing/2014/chart" uri="{C3380CC4-5D6E-409C-BE32-E72D297353CC}">
              <c16:uniqueId val="{00000000-D864-4EC2-A8F7-350F697290D8}"/>
            </c:ext>
          </c:extLst>
        </c:ser>
        <c:ser>
          <c:idx val="1"/>
          <c:order val="1"/>
          <c:tx>
            <c:strRef>
              <c:f>'Working Sheet'!$AY$4</c:f>
              <c:strCache>
                <c:ptCount val="1"/>
                <c:pt idx="0">
                  <c:v>Kum Aktual Tonase</c:v>
                </c:pt>
              </c:strCache>
            </c:strRef>
          </c:tx>
          <c:spPr>
            <a:ln w="12700" cap="flat" cmpd="sng">
              <a:solidFill>
                <a:srgbClr val="92D050"/>
              </a:solidFill>
              <a:miter lim="800000"/>
            </a:ln>
            <a:effectLst/>
          </c:spPr>
          <c:marker>
            <c:symbol val="circle"/>
            <c:size val="3"/>
            <c:spPr>
              <a:noFill/>
              <a:ln w="12700">
                <a:solidFill>
                  <a:srgbClr val="92D050"/>
                </a:solidFill>
              </a:ln>
              <a:effectLst/>
            </c:spPr>
          </c:marker>
          <c:cat>
            <c:numRef>
              <c:f>'Working Sheet'!$AW$5:$AW$16</c:f>
              <c:numCache>
                <c:formatCode>0</c:formatCode>
                <c:ptCount val="12"/>
                <c:pt idx="0">
                  <c:v>44927</c:v>
                </c:pt>
                <c:pt idx="1">
                  <c:v>44958</c:v>
                </c:pt>
                <c:pt idx="2">
                  <c:v>44986</c:v>
                </c:pt>
                <c:pt idx="3">
                  <c:v>45017</c:v>
                </c:pt>
                <c:pt idx="4">
                  <c:v>45047</c:v>
                </c:pt>
                <c:pt idx="5">
                  <c:v>45078</c:v>
                </c:pt>
                <c:pt idx="6">
                  <c:v>45108</c:v>
                </c:pt>
                <c:pt idx="7">
                  <c:v>45139</c:v>
                </c:pt>
                <c:pt idx="8">
                  <c:v>45170</c:v>
                </c:pt>
                <c:pt idx="9">
                  <c:v>45200</c:v>
                </c:pt>
                <c:pt idx="10">
                  <c:v>45231</c:v>
                </c:pt>
                <c:pt idx="11">
                  <c:v>45261</c:v>
                </c:pt>
              </c:numCache>
            </c:numRef>
          </c:cat>
          <c:val>
            <c:numRef>
              <c:f>'Working Sheet'!$AY$5:$AY$16</c:f>
              <c:numCache>
                <c:formatCode>0</c:formatCode>
                <c:ptCount val="12"/>
                <c:pt idx="0">
                  <c:v>1659.31</c:v>
                </c:pt>
                <c:pt idx="1">
                  <c:v>3133.5845599014542</c:v>
                </c:pt>
                <c:pt idx="2">
                  <c:v>4783.8184358647304</c:v>
                </c:pt>
                <c:pt idx="3">
                  <c:v>5535.1822979583267</c:v>
                </c:pt>
                <c:pt idx="4">
                  <c:v>7777.9320936193417</c:v>
                </c:pt>
                <c:pt idx="5">
                  <c:v>9448.0738461872315</c:v>
                </c:pt>
                <c:pt idx="6">
                  <c:v>11793.760598020617</c:v>
                </c:pt>
                <c:pt idx="7">
                  <c:v>13330.481922010962</c:v>
                </c:pt>
                <c:pt idx="8">
                  <c:v>16822.80712374203</c:v>
                </c:pt>
                <c:pt idx="9">
                  <c:v>19492.446252051697</c:v>
                </c:pt>
                <c:pt idx="10">
                  <c:v>23136.788164083453</c:v>
                </c:pt>
                <c:pt idx="11">
                  <c:v>25629.98774379506</c:v>
                </c:pt>
              </c:numCache>
            </c:numRef>
          </c:val>
          <c:extLst xmlns:c16r2="http://schemas.microsoft.com/office/drawing/2015/06/chart">
            <c:ext xmlns:c16="http://schemas.microsoft.com/office/drawing/2014/chart" uri="{C3380CC4-5D6E-409C-BE32-E72D297353CC}">
              <c16:uniqueId val="{00000001-D864-4EC2-A8F7-350F697290D8}"/>
            </c:ext>
          </c:extLst>
        </c:ser>
        <c:dLbls/>
        <c:marker val="1"/>
        <c:axId val="102893056"/>
        <c:axId val="102894592"/>
      </c:lineChart>
      <c:catAx>
        <c:axId val="102893056"/>
        <c:scaling>
          <c:orientation val="minMax"/>
        </c:scaling>
        <c:axPos val="b"/>
        <c:numFmt formatCode="0" sourceLinked="1"/>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894592"/>
        <c:crosses val="autoZero"/>
        <c:auto val="1"/>
        <c:lblAlgn val="ctr"/>
        <c:lblOffset val="100"/>
      </c:catAx>
      <c:valAx>
        <c:axId val="102894592"/>
        <c:scaling>
          <c:orientation val="minMax"/>
        </c:scaling>
        <c:delete val="1"/>
        <c:axPos val="l"/>
        <c:numFmt formatCode="0" sourceLinked="1"/>
        <c:tickLblPos val="none"/>
        <c:crossAx val="102893056"/>
        <c:crosses val="autoZero"/>
        <c:crossBetween val="between"/>
      </c:valAx>
      <c:spPr>
        <a:noFill/>
        <a:ln>
          <a:noFill/>
        </a:ln>
        <a:effectLst/>
      </c:spPr>
    </c:plotArea>
    <c:legend>
      <c:legendPos val="t"/>
      <c:layout>
        <c:manualLayout>
          <c:xMode val="edge"/>
          <c:yMode val="edge"/>
          <c:x val="7.9543307086614168E-2"/>
          <c:y val="0.12037037037037036"/>
          <c:w val="0.66313560804899396"/>
          <c:h val="7.2694298629338017E-2"/>
        </c:manualLayout>
      </c:layout>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bevel/>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plotArea>
      <c:layout/>
      <c:barChart>
        <c:barDir val="col"/>
        <c:grouping val="clustered"/>
        <c:ser>
          <c:idx val="0"/>
          <c:order val="0"/>
          <c:spPr>
            <a:solidFill>
              <a:schemeClr val="accent1"/>
            </a:solidFill>
            <a:ln>
              <a:noFill/>
            </a:ln>
            <a:effectLst/>
          </c:spPr>
          <c:val>
            <c:numRef>
              <c:f>'Working Sheet'!$H$18</c:f>
              <c:numCache>
                <c:formatCode>_-* #,##0.0_-;\-* #,##0.0_-;_-* "-"??_-;_-@_-</c:formatCode>
                <c:ptCount val="1"/>
                <c:pt idx="0">
                  <c:v>9.448073846187226</c:v>
                </c:pt>
              </c:numCache>
            </c:numRef>
          </c:val>
          <c:extLst xmlns:c16r2="http://schemas.microsoft.com/office/drawing/2015/06/chart">
            <c:ext xmlns:c16="http://schemas.microsoft.com/office/drawing/2014/chart" uri="{C3380CC4-5D6E-409C-BE32-E72D297353CC}">
              <c16:uniqueId val="{00000000-76B3-4E7F-BF47-ECF5565272EB}"/>
            </c:ext>
          </c:extLst>
        </c:ser>
        <c:ser>
          <c:idx val="1"/>
          <c:order val="1"/>
          <c:spPr>
            <a:solidFill>
              <a:schemeClr val="accent2"/>
            </a:solidFill>
            <a:ln>
              <a:noFill/>
            </a:ln>
            <a:effectLst/>
          </c:spPr>
          <c:val>
            <c:numRef>
              <c:f>'Working Sheet'!$H$19</c:f>
              <c:numCache>
                <c:formatCode>_-* #,##0.0_-;\-* #,##0.0_-;_-* "-"??_-;_-@_-</c:formatCode>
                <c:ptCount val="1"/>
                <c:pt idx="0">
                  <c:v>8.0798174869989605</c:v>
                </c:pt>
              </c:numCache>
            </c:numRef>
          </c:val>
          <c:extLst xmlns:c16r2="http://schemas.microsoft.com/office/drawing/2015/06/chart">
            <c:ext xmlns:c16="http://schemas.microsoft.com/office/drawing/2014/chart" uri="{C3380CC4-5D6E-409C-BE32-E72D297353CC}">
              <c16:uniqueId val="{00000002-76B3-4E7F-BF47-ECF5565272EB}"/>
            </c:ext>
          </c:extLst>
        </c:ser>
        <c:dLbls/>
        <c:gapWidth val="219"/>
        <c:overlap val="-27"/>
        <c:axId val="102937344"/>
        <c:axId val="102938880"/>
      </c:barChart>
      <c:catAx>
        <c:axId val="102937344"/>
        <c:scaling>
          <c:orientation val="minMax"/>
        </c:scaling>
        <c:axPos val="b"/>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38880"/>
        <c:crosses val="autoZero"/>
        <c:auto val="1"/>
        <c:lblAlgn val="ctr"/>
        <c:lblOffset val="100"/>
      </c:catAx>
      <c:valAx>
        <c:axId val="102938880"/>
        <c:scaling>
          <c:orientation val="minMax"/>
        </c:scaling>
        <c:axPos val="l"/>
        <c:majorGridlines>
          <c:spPr>
            <a:ln w="9525" cap="flat" cmpd="sng" algn="ctr">
              <a:solidFill>
                <a:schemeClr val="tx1">
                  <a:lumMod val="15000"/>
                  <a:lumOff val="85000"/>
                </a:schemeClr>
              </a:solidFill>
              <a:round/>
            </a:ln>
            <a:effectLst/>
          </c:spPr>
        </c:majorGridlines>
        <c:numFmt formatCode="_-* #,##0.0_-;\-* #,##0.0_-;_-* &quot;-&quot;??_-;_-@_-"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37344"/>
        <c:crosses val="autoZero"/>
        <c:crossBetween val="between"/>
      </c:val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doughnutChart>
        <c:varyColors val="1"/>
        <c:ser>
          <c:idx val="0"/>
          <c:order val="0"/>
          <c:dPt>
            <c:idx val="0"/>
            <c:spPr>
              <a:solidFill>
                <a:srgbClr val="0000FF"/>
              </a:solidFill>
              <a:ln w="19050">
                <a:solidFill>
                  <a:schemeClr val="lt1"/>
                </a:solidFill>
              </a:ln>
              <a:effectLst/>
            </c:spPr>
            <c:extLst xmlns:c16r2="http://schemas.microsoft.com/office/drawing/2015/06/chart">
              <c:ext xmlns:c16="http://schemas.microsoft.com/office/drawing/2014/chart" uri="{C3380CC4-5D6E-409C-BE32-E72D297353CC}">
                <c16:uniqueId val="{00000001-45A8-4453-B9F7-7984B09D8C0B}"/>
              </c:ext>
            </c:extLst>
          </c:dPt>
          <c:dPt>
            <c:idx val="1"/>
            <c:spPr>
              <a:solidFill>
                <a:srgbClr val="ADD8E6"/>
              </a:solidFill>
              <a:ln w="19050">
                <a:solidFill>
                  <a:schemeClr val="lt1"/>
                </a:solidFill>
              </a:ln>
              <a:effectLst/>
            </c:spPr>
            <c:extLst xmlns:c16r2="http://schemas.microsoft.com/office/drawing/2015/06/chart">
              <c:ext xmlns:c16="http://schemas.microsoft.com/office/drawing/2014/chart" uri="{C3380CC4-5D6E-409C-BE32-E72D297353CC}">
                <c16:uniqueId val="{00000003-45A8-4453-B9F7-7984B09D8C0B}"/>
              </c:ext>
            </c:extLst>
          </c:dPt>
          <c:dPt>
            <c:idx val="2"/>
            <c:spPr>
              <a:solidFill>
                <a:srgbClr val="4169E1"/>
              </a:solidFill>
              <a:ln w="19050">
                <a:solidFill>
                  <a:schemeClr val="lt1"/>
                </a:solidFill>
              </a:ln>
              <a:effectLst/>
            </c:spPr>
            <c:extLst xmlns:c16r2="http://schemas.microsoft.com/office/drawing/2015/06/chart">
              <c:ext xmlns:c16="http://schemas.microsoft.com/office/drawing/2014/chart" uri="{C3380CC4-5D6E-409C-BE32-E72D297353CC}">
                <c16:uniqueId val="{00000005-45A8-4453-B9F7-7984B09D8C0B}"/>
              </c:ext>
            </c:extLst>
          </c:dPt>
          <c:dPt>
            <c:idx val="3"/>
            <c:spPr>
              <a:solidFill>
                <a:srgbClr val="00BFFF"/>
              </a:solidFill>
              <a:ln w="19050">
                <a:solidFill>
                  <a:schemeClr val="lt1"/>
                </a:solidFill>
              </a:ln>
              <a:effectLst/>
            </c:spPr>
            <c:extLst xmlns:c16r2="http://schemas.microsoft.com/office/drawing/2015/06/chart">
              <c:ext xmlns:c16="http://schemas.microsoft.com/office/drawing/2014/chart" uri="{C3380CC4-5D6E-409C-BE32-E72D297353CC}">
                <c16:uniqueId val="{00000007-45A8-4453-B9F7-7984B09D8C0B}"/>
              </c:ext>
            </c:extLst>
          </c:dPt>
          <c:dLbls>
            <c:spPr>
              <a:noFill/>
              <a:ln>
                <a:noFill/>
              </a:ln>
              <a:effectLst/>
            </c:spPr>
            <c:txPr>
              <a:bodyPr rot="0" spcFirstLastPara="1" vertOverflow="ellipsis" vert="horz" wrap="square" lIns="0" tIns="0" rIns="0" bIns="0" anchor="ctr" anchorCtr="1">
                <a:spAutoFit/>
              </a:bodyPr>
              <a:lstStyle/>
              <a:p>
                <a:pPr>
                  <a:defRPr sz="1800" b="1" i="0" u="none" strike="noStrike" kern="1200" baseline="0">
                    <a:solidFill>
                      <a:schemeClr val="accent4">
                        <a:lumMod val="20000"/>
                        <a:lumOff val="80000"/>
                      </a:schemeClr>
                    </a:solidFill>
                    <a:latin typeface="+mn-lt"/>
                    <a:ea typeface="+mn-ea"/>
                    <a:cs typeface="+mn-cs"/>
                  </a:defRPr>
                </a:pPr>
                <a:endParaRPr lang="en-US"/>
              </a:p>
            </c:txPr>
            <c:showVal val="1"/>
            <c:extLst xmlns:c16r2="http://schemas.microsoft.com/office/drawing/2015/06/chart">
              <c:ext xmlns:c15="http://schemas.microsoft.com/office/drawing/2012/chart" uri="{CE6537A1-D6FC-4f65-9D91-7224C49458BB}">
                <c15:spPr xmlns:c15="http://schemas.microsoft.com/office/drawing/2012/chart">
                  <a:prstGeom prst="rect">
                    <a:avLst/>
                  </a:prstGeom>
                </c15:spPr>
              </c:ext>
            </c:extLst>
          </c:dLbls>
          <c:cat>
            <c:strRef>
              <c:f>'Working Sheet'!$AN$4:$AN$7</c:f>
              <c:strCache>
                <c:ptCount val="4"/>
                <c:pt idx="0">
                  <c:v>Row Labels</c:v>
                </c:pt>
                <c:pt idx="1">
                  <c:v>KBK</c:v>
                </c:pt>
                <c:pt idx="2">
                  <c:v>KNI</c:v>
                </c:pt>
                <c:pt idx="3">
                  <c:v>KPdP</c:v>
                </c:pt>
              </c:strCache>
            </c:strRef>
          </c:cat>
          <c:val>
            <c:numRef>
              <c:f>'Working Sheet'!$AP$4:$AP$7</c:f>
              <c:numCache>
                <c:formatCode>_-* #,##0_-;\-* #,##0_-;_-* "-"??_-;_-@_-</c:formatCode>
                <c:ptCount val="4"/>
                <c:pt idx="0">
                  <c:v>0</c:v>
                </c:pt>
                <c:pt idx="1">
                  <c:v>26248.319135552814</c:v>
                </c:pt>
                <c:pt idx="2">
                  <c:v>17426.75352394439</c:v>
                </c:pt>
                <c:pt idx="3">
                  <c:v>3340.3654118087948</c:v>
                </c:pt>
              </c:numCache>
            </c:numRef>
          </c:val>
          <c:extLst xmlns:c16r2="http://schemas.microsoft.com/office/drawing/2015/06/chart">
            <c:ext xmlns:c16="http://schemas.microsoft.com/office/drawing/2014/chart" uri="{C3380CC4-5D6E-409C-BE32-E72D297353CC}">
              <c16:uniqueId val="{00000008-45A8-4453-B9F7-7984B09D8C0B}"/>
            </c:ext>
          </c:extLst>
        </c:ser>
        <c:dLbls/>
        <c:firstSliceAng val="0"/>
        <c:holeSize val="45"/>
      </c:doughnutChart>
      <c:spPr>
        <a:noFill/>
        <a:ln>
          <a:noFill/>
        </a:ln>
        <a:effectLst/>
      </c:spPr>
    </c:plotArea>
    <c:legend>
      <c:legendPos val="b"/>
      <c:layout>
        <c:manualLayout>
          <c:xMode val="edge"/>
          <c:yMode val="edge"/>
          <c:x val="0.177545159796202"/>
          <c:y val="0.8522850456945894"/>
          <c:w val="0.6060069481804099"/>
          <c:h val="7.0335603194306692E-2"/>
        </c:manualLayout>
      </c:layout>
      <c:spPr>
        <a:noFill/>
        <a:ln>
          <a:noFill/>
        </a:ln>
        <a:effectLst/>
      </c:spPr>
      <c:txPr>
        <a:bodyPr rot="0" spcFirstLastPara="1" vertOverflow="ellipsis" vert="horz" wrap="square" anchor="ctr" anchorCtr="1"/>
        <a:lstStyle/>
        <a:p>
          <a:pPr algn="ctr">
            <a:defRPr lang="en-US" sz="1100" b="1"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pivotSource>
    <c:name>[Dashboard Hilirisasi V2.xlsx]Working Sheet!PivotTable1</c:name>
    <c:fmtId val="26"/>
  </c:pivotSource>
  <c:chart>
    <c:autoTitleDeleted val="1"/>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3"/>
        <c:spPr>
          <a:solidFill>
            <a:srgbClr val="0000FF"/>
          </a:solidFill>
          <a:ln>
            <a:noFill/>
          </a:ln>
          <a:effectLst/>
        </c:spPr>
      </c:pivotFmt>
      <c:pivotFmt>
        <c:idx val="4"/>
        <c:spPr>
          <a:solidFill>
            <a:srgbClr val="ADD8E6"/>
          </a:solidFill>
          <a:ln>
            <a:noFill/>
          </a:ln>
          <a:effectLst/>
        </c:spPr>
      </c:pivotFmt>
      <c:pivotFmt>
        <c:idx val="5"/>
        <c:spPr>
          <a:solidFill>
            <a:srgbClr val="4169E1"/>
          </a:solidFill>
          <a:ln>
            <a:noFill/>
          </a:ln>
          <a:effectLst/>
        </c:spPr>
      </c:pivotFmt>
      <c:pivotFmt>
        <c:idx val="6"/>
        <c:spPr>
          <a:solidFill>
            <a:srgbClr val="00BFFF"/>
          </a:solidFill>
          <a:ln>
            <a:noFill/>
          </a:ln>
          <a:effectLst/>
        </c:spPr>
      </c:pivotFmt>
      <c:pivotFmt>
        <c:idx val="7"/>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s>
    <c:plotArea>
      <c:layout/>
      <c:barChart>
        <c:barDir val="col"/>
        <c:grouping val="clustered"/>
        <c:ser>
          <c:idx val="0"/>
          <c:order val="0"/>
          <c:tx>
            <c:strRef>
              <c:f>'Working Sheet'!$T$3</c:f>
              <c:strCache>
                <c:ptCount val="1"/>
                <c:pt idx="0">
                  <c:v>Total</c:v>
                </c:pt>
              </c:strCache>
            </c:strRef>
          </c:tx>
          <c:spPr>
            <a:solidFill>
              <a:schemeClr val="accent1"/>
            </a:solidFill>
            <a:ln>
              <a:noFill/>
            </a:ln>
            <a:effectLst/>
          </c:spPr>
          <c:dPt>
            <c:idx val="0"/>
            <c:spPr>
              <a:solidFill>
                <a:srgbClr val="0000FF"/>
              </a:solidFill>
              <a:ln>
                <a:noFill/>
              </a:ln>
              <a:effectLst/>
            </c:spPr>
            <c:extLst xmlns:c16r2="http://schemas.microsoft.com/office/drawing/2015/06/chart">
              <c:ext xmlns:c16="http://schemas.microsoft.com/office/drawing/2014/chart" uri="{C3380CC4-5D6E-409C-BE32-E72D297353CC}">
                <c16:uniqueId val="{00000002-990D-4381-803C-3C015A575840}"/>
              </c:ext>
            </c:extLst>
          </c:dPt>
          <c:dPt>
            <c:idx val="1"/>
            <c:spPr>
              <a:solidFill>
                <a:srgbClr val="ADD8E6"/>
              </a:solidFill>
              <a:ln>
                <a:noFill/>
              </a:ln>
              <a:effectLst/>
            </c:spPr>
            <c:extLst xmlns:c16r2="http://schemas.microsoft.com/office/drawing/2015/06/chart">
              <c:ext xmlns:c16="http://schemas.microsoft.com/office/drawing/2014/chart" uri="{C3380CC4-5D6E-409C-BE32-E72D297353CC}">
                <c16:uniqueId val="{00000003-990D-4381-803C-3C015A575840}"/>
              </c:ext>
            </c:extLst>
          </c:dPt>
          <c:dPt>
            <c:idx val="2"/>
            <c:spPr>
              <a:solidFill>
                <a:srgbClr val="4169E1"/>
              </a:solidFill>
              <a:ln>
                <a:noFill/>
              </a:ln>
              <a:effectLst/>
            </c:spPr>
            <c:extLst xmlns:c16r2="http://schemas.microsoft.com/office/drawing/2015/06/chart">
              <c:ext xmlns:c16="http://schemas.microsoft.com/office/drawing/2014/chart" uri="{C3380CC4-5D6E-409C-BE32-E72D297353CC}">
                <c16:uniqueId val="{00000004-990D-4381-803C-3C015A575840}"/>
              </c:ext>
            </c:extLst>
          </c:dPt>
          <c:dPt>
            <c:idx val="3"/>
            <c:spPr>
              <a:solidFill>
                <a:srgbClr val="00BFFF"/>
              </a:solidFill>
              <a:ln>
                <a:noFill/>
              </a:ln>
              <a:effectLst/>
            </c:spPr>
            <c:extLst xmlns:c16r2="http://schemas.microsoft.com/office/drawing/2015/06/chart">
              <c:ext xmlns:c16="http://schemas.microsoft.com/office/drawing/2014/chart" uri="{C3380CC4-5D6E-409C-BE32-E72D297353CC}">
                <c16:uniqueId val="{00000005-990D-4381-803C-3C015A575840}"/>
              </c:ext>
            </c:extLst>
          </c:dPt>
          <c:cat>
            <c:strRef>
              <c:f>'Working Sheet'!$S$4:$S$8</c:f>
              <c:strCache>
                <c:ptCount val="4"/>
                <c:pt idx="0">
                  <c:v>KBK</c:v>
                </c:pt>
                <c:pt idx="1">
                  <c:v>KNI</c:v>
                </c:pt>
                <c:pt idx="2">
                  <c:v>KPdP</c:v>
                </c:pt>
                <c:pt idx="3">
                  <c:v>KPI</c:v>
                </c:pt>
              </c:strCache>
            </c:strRef>
          </c:cat>
          <c:val>
            <c:numRef>
              <c:f>'Working Sheet'!$T$4:$T$8</c:f>
              <c:numCache>
                <c:formatCode>_-* #,##0_-;\-* #,##0_-;_-* "-"??_-;_-@_-</c:formatCode>
                <c:ptCount val="4"/>
                <c:pt idx="0">
                  <c:v>25198.00635690261</c:v>
                </c:pt>
                <c:pt idx="1">
                  <c:v>17351.345004643354</c:v>
                </c:pt>
                <c:pt idx="2">
                  <c:v>4090.0957142857146</c:v>
                </c:pt>
                <c:pt idx="3">
                  <c:v>21460.480214357616</c:v>
                </c:pt>
              </c:numCache>
            </c:numRef>
          </c:val>
          <c:extLst xmlns:c16r2="http://schemas.microsoft.com/office/drawing/2015/06/chart">
            <c:ext xmlns:c16="http://schemas.microsoft.com/office/drawing/2014/chart" uri="{C3380CC4-5D6E-409C-BE32-E72D297353CC}">
              <c16:uniqueId val="{00000000-990D-4381-803C-3C015A575840}"/>
            </c:ext>
          </c:extLst>
        </c:ser>
        <c:dLbls/>
        <c:gapWidth val="100"/>
        <c:axId val="105177088"/>
        <c:axId val="105178624"/>
      </c:barChart>
      <c:catAx>
        <c:axId val="105177088"/>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5178624"/>
        <c:crosses val="autoZero"/>
        <c:auto val="1"/>
        <c:lblAlgn val="ctr"/>
        <c:lblOffset val="100"/>
      </c:catAx>
      <c:valAx>
        <c:axId val="105178624"/>
        <c:scaling>
          <c:orientation val="minMax"/>
        </c:scaling>
        <c:axPos val="l"/>
        <c:majorGridlines>
          <c:spPr>
            <a:ln w="9525" cap="flat" cmpd="sng" algn="ctr">
              <a:solidFill>
                <a:schemeClr val="accent1">
                  <a:lumMod val="20000"/>
                  <a:lumOff val="80000"/>
                </a:schemeClr>
              </a:solidFill>
              <a:prstDash val="sysDash"/>
              <a:round/>
            </a:ln>
            <a:effectLst/>
          </c:spPr>
        </c:majorGridlines>
        <c:numFmt formatCode="_-* #,##0_-;\-* #,##0_-;_-* &quot;-&quot;??_-;_-@_-" sourceLinked="1"/>
        <c:maj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05177088"/>
        <c:crosses val="autoZero"/>
        <c:crossBetween val="between"/>
      </c:valAx>
      <c:spPr>
        <a:noFill/>
        <a:ln>
          <a:noFill/>
        </a:ln>
        <a:effectLst/>
      </c:spPr>
    </c:plotArea>
    <c:plotVisOnly val="1"/>
    <c:dispBlanksAs val="gap"/>
    <c:extLst xmlns:c16r2="http://schemas.microsoft.com/office/drawing/2015/06/chart"/>
  </c:chart>
  <c:spPr>
    <a:solidFill>
      <a:schemeClr val="bg1"/>
    </a:solid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extLst xmlns:c16r2="http://schemas.microsoft.com/office/drawing/2015/06/char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doughnutChart>
        <c:varyColors val="1"/>
        <c:ser>
          <c:idx val="0"/>
          <c:order val="0"/>
          <c:dPt>
            <c:idx val="0"/>
            <c:spPr>
              <a:solidFill>
                <a:schemeClr val="accent3">
                  <a:lumMod val="20000"/>
                  <a:lumOff val="80000"/>
                </a:schemeClr>
              </a:solidFill>
            </c:spPr>
            <c:extLst xmlns:c16r2="http://schemas.microsoft.com/office/drawing/2015/06/chart">
              <c:ext xmlns:c16="http://schemas.microsoft.com/office/drawing/2014/chart" uri="{C3380CC4-5D6E-409C-BE32-E72D297353CC}">
                <c16:uniqueId val="{00000008-A147-4AE9-A298-B4D4D45B49AD}"/>
              </c:ext>
            </c:extLst>
          </c:dPt>
          <c:dPt>
            <c:idx val="1"/>
            <c:spPr>
              <a:solidFill>
                <a:srgbClr val="0000FF"/>
              </a:solidFill>
              <a:ln w="19050">
                <a:noFill/>
              </a:ln>
              <a:effectLst/>
            </c:spPr>
            <c:extLst xmlns:c16r2="http://schemas.microsoft.com/office/drawing/2015/06/chart">
              <c:ext xmlns:c16="http://schemas.microsoft.com/office/drawing/2014/chart" uri="{C3380CC4-5D6E-409C-BE32-E72D297353CC}">
                <c16:uniqueId val="{0000000A-A147-4AE9-A298-B4D4D45B49AD}"/>
              </c:ext>
            </c:extLst>
          </c:dPt>
          <c:val>
            <c:numRef>
              <c:f>'Working Sheet'!$Z$11:$AA$11</c:f>
              <c:numCache>
                <c:formatCode>0%</c:formatCode>
                <c:ptCount val="2"/>
                <c:pt idx="0">
                  <c:v>-7.9801333270308916E-2</c:v>
                </c:pt>
                <c:pt idx="1">
                  <c:v>1.0798013332703089</c:v>
                </c:pt>
              </c:numCache>
            </c:numRef>
          </c:val>
          <c:extLst xmlns:c16r2="http://schemas.microsoft.com/office/drawing/2015/06/chart">
            <c:ext xmlns:c16="http://schemas.microsoft.com/office/drawing/2014/chart" uri="{C3380CC4-5D6E-409C-BE32-E72D297353CC}">
              <c16:uniqueId val="{0000000B-A147-4AE9-A298-B4D4D45B49AD}"/>
            </c:ext>
          </c:extLst>
        </c:ser>
        <c:dLbls/>
        <c:firstSliceAng val="0"/>
        <c:holeSize val="57"/>
      </c:doughnutChart>
    </c:plotArea>
    <c:plotVisOnly val="1"/>
    <c:dispBlanksAs val="zero"/>
    <c:extLst xmlns:c16r2="http://schemas.microsoft.com/office/drawing/2015/06/char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doughnutChart>
        <c:varyColors val="1"/>
        <c:ser>
          <c:idx val="1"/>
          <c:order val="0"/>
          <c:tx>
            <c:strRef>
              <c:f>'Working Sheet'!$Z$13:$AA$13</c:f>
              <c:strCache>
                <c:ptCount val="1"/>
                <c:pt idx="0">
                  <c:v>18% 82%</c:v>
                </c:pt>
              </c:strCache>
            </c:strRef>
          </c:tx>
          <c:dPt>
            <c:idx val="0"/>
            <c:spPr>
              <a:solidFill>
                <a:schemeClr val="accent3">
                  <a:lumMod val="20000"/>
                  <a:lumOff val="80000"/>
                </a:schemeClr>
              </a:solidFill>
            </c:spPr>
            <c:extLst xmlns:c16r2="http://schemas.microsoft.com/office/drawing/2015/06/chart">
              <c:ext xmlns:c16="http://schemas.microsoft.com/office/drawing/2014/chart" uri="{C3380CC4-5D6E-409C-BE32-E72D297353CC}">
                <c16:uniqueId val="{00000001-6A7D-42C1-835F-D1B1E6870643}"/>
              </c:ext>
            </c:extLst>
          </c:dPt>
          <c:dPt>
            <c:idx val="1"/>
            <c:spPr>
              <a:solidFill>
                <a:srgbClr val="4169E1"/>
              </a:solidFill>
            </c:spPr>
            <c:extLst xmlns:c16r2="http://schemas.microsoft.com/office/drawing/2015/06/chart">
              <c:ext xmlns:c16="http://schemas.microsoft.com/office/drawing/2014/chart" uri="{C3380CC4-5D6E-409C-BE32-E72D297353CC}">
                <c16:uniqueId val="{00000003-5A96-4DA2-AD5E-1AA44D898D81}"/>
              </c:ext>
            </c:extLst>
          </c:dPt>
          <c:val>
            <c:numRef>
              <c:f>'Working Sheet'!$Z$13:$AA$13</c:f>
              <c:numCache>
                <c:formatCode>0%</c:formatCode>
                <c:ptCount val="2"/>
                <c:pt idx="0">
                  <c:v>0.18070603573445998</c:v>
                </c:pt>
                <c:pt idx="1">
                  <c:v>0.81929396426554002</c:v>
                </c:pt>
              </c:numCache>
            </c:numRef>
          </c:val>
          <c:extLst xmlns:c16r2="http://schemas.microsoft.com/office/drawing/2015/06/chart">
            <c:ext xmlns:c16="http://schemas.microsoft.com/office/drawing/2014/chart" uri="{C3380CC4-5D6E-409C-BE32-E72D297353CC}">
              <c16:uniqueId val="{00000004-6A7D-42C1-835F-D1B1E6870643}"/>
            </c:ext>
          </c:extLst>
        </c:ser>
        <c:dLbls/>
        <c:firstSliceAng val="0"/>
        <c:holeSize val="57"/>
      </c:doughnutChart>
    </c:plotArea>
    <c:plotVisOnly val="1"/>
    <c:dispBlanksAs val="zero"/>
    <c:extLst xmlns:c16r2="http://schemas.microsoft.com/office/drawing/2015/06/char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US"/>
  <c:chart>
    <c:autoTitleDeleted val="1"/>
    <c:plotArea>
      <c:layout/>
      <c:doughnutChart>
        <c:varyColors val="1"/>
        <c:ser>
          <c:idx val="0"/>
          <c:order val="0"/>
          <c:dPt>
            <c:idx val="0"/>
            <c:spPr>
              <a:solidFill>
                <a:schemeClr val="accent3">
                  <a:lumMod val="20000"/>
                  <a:lumOff val="80000"/>
                </a:schemeClr>
              </a:solidFill>
            </c:spPr>
            <c:extLst xmlns:c16r2="http://schemas.microsoft.com/office/drawing/2015/06/chart">
              <c:ext xmlns:c16="http://schemas.microsoft.com/office/drawing/2014/chart" uri="{C3380CC4-5D6E-409C-BE32-E72D297353CC}">
                <c16:uniqueId val="{00000001-EF54-4DFC-AE3C-D80C1F7E1465}"/>
              </c:ext>
            </c:extLst>
          </c:dPt>
          <c:dPt>
            <c:idx val="1"/>
            <c:spPr>
              <a:solidFill>
                <a:srgbClr val="ADD8E6"/>
              </a:solidFill>
            </c:spPr>
            <c:extLst xmlns:c16r2="http://schemas.microsoft.com/office/drawing/2015/06/chart">
              <c:ext xmlns:c16="http://schemas.microsoft.com/office/drawing/2014/chart" uri="{C3380CC4-5D6E-409C-BE32-E72D297353CC}">
                <c16:uniqueId val="{00000003-EF54-4DFC-AE3C-D80C1F7E1465}"/>
              </c:ext>
            </c:extLst>
          </c:dPt>
          <c:val>
            <c:numRef>
              <c:f>'Working Sheet'!$Z$12:$AA$12</c:f>
              <c:numCache>
                <c:formatCode>0%</c:formatCode>
                <c:ptCount val="2"/>
                <c:pt idx="0">
                  <c:v>-0.53253356338485713</c:v>
                </c:pt>
                <c:pt idx="1">
                  <c:v>1.5325335633848571</c:v>
                </c:pt>
              </c:numCache>
            </c:numRef>
          </c:val>
          <c:extLst xmlns:c16r2="http://schemas.microsoft.com/office/drawing/2015/06/chart">
            <c:ext xmlns:c16="http://schemas.microsoft.com/office/drawing/2014/chart" uri="{C3380CC4-5D6E-409C-BE32-E72D297353CC}">
              <c16:uniqueId val="{00000004-EF54-4DFC-AE3C-D80C1F7E1465}"/>
            </c:ext>
          </c:extLst>
        </c:ser>
        <c:dLbls/>
        <c:firstSliceAng val="0"/>
        <c:holeSize val="57"/>
      </c:doughnutChart>
    </c:plotArea>
    <c:plotVisOnly val="1"/>
    <c:dispBlanksAs val="zero"/>
    <c:extLst xmlns:c16r2="http://schemas.microsoft.com/office/drawing/2015/06/char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US"/>
  <c:chart>
    <c:autoTitleDeleted val="1"/>
    <c:plotArea>
      <c:layout/>
      <c:doughnutChart>
        <c:varyColors val="1"/>
        <c:ser>
          <c:idx val="0"/>
          <c:order val="0"/>
          <c:dPt>
            <c:idx val="0"/>
            <c:spPr>
              <a:solidFill>
                <a:schemeClr val="accent3">
                  <a:lumMod val="20000"/>
                  <a:lumOff val="80000"/>
                </a:schemeClr>
              </a:solidFill>
            </c:spPr>
            <c:extLst xmlns:c16r2="http://schemas.microsoft.com/office/drawing/2015/06/chart">
              <c:ext xmlns:c16="http://schemas.microsoft.com/office/drawing/2014/chart" uri="{C3380CC4-5D6E-409C-BE32-E72D297353CC}">
                <c16:uniqueId val="{00000001-75F9-4B20-AA3C-84E599433EF8}"/>
              </c:ext>
            </c:extLst>
          </c:dPt>
          <c:dPt>
            <c:idx val="1"/>
            <c:spPr>
              <a:solidFill>
                <a:srgbClr val="00BFFF"/>
              </a:solidFill>
            </c:spPr>
            <c:extLst xmlns:c16r2="http://schemas.microsoft.com/office/drawing/2015/06/chart">
              <c:ext xmlns:c16="http://schemas.microsoft.com/office/drawing/2014/chart" uri="{C3380CC4-5D6E-409C-BE32-E72D297353CC}">
                <c16:uniqueId val="{00000003-75F9-4B20-AA3C-84E599433EF8}"/>
              </c:ext>
            </c:extLst>
          </c:dPt>
          <c:val>
            <c:numRef>
              <c:f>'Working Sheet'!$Z$14:$AA$14</c:f>
              <c:numCache>
                <c:formatCode>0%</c:formatCode>
                <c:ptCount val="2"/>
                <c:pt idx="0">
                  <c:v>-0.64763763641901084</c:v>
                </c:pt>
                <c:pt idx="1">
                  <c:v>1.6476376364190108</c:v>
                </c:pt>
              </c:numCache>
            </c:numRef>
          </c:val>
          <c:extLst xmlns:c16r2="http://schemas.microsoft.com/office/drawing/2015/06/chart">
            <c:ext xmlns:c16="http://schemas.microsoft.com/office/drawing/2014/chart" uri="{C3380CC4-5D6E-409C-BE32-E72D297353CC}">
              <c16:uniqueId val="{00000004-75F9-4B20-AA3C-84E599433EF8}"/>
            </c:ext>
          </c:extLst>
        </c:ser>
        <c:dLbls/>
        <c:firstSliceAng val="0"/>
        <c:holeSize val="57"/>
      </c:doughnutChart>
    </c:plotArea>
    <c:plotVisOnly val="1"/>
    <c:dispBlanksAs val="zero"/>
    <c:extLst xmlns:c16r2="http://schemas.microsoft.com/office/drawing/2015/06/char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1"/>
          <c:order val="1"/>
          <c:spPr>
            <a:solidFill>
              <a:srgbClr val="1E90FF"/>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Val val="1"/>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Sheet'!$K$5:$K$10</c:f>
              <c:strCache>
                <c:ptCount val="6"/>
                <c:pt idx="0">
                  <c:v>Rp2.024</c:v>
                </c:pt>
                <c:pt idx="1">
                  <c:v>January</c:v>
                </c:pt>
                <c:pt idx="2">
                  <c:v>February</c:v>
                </c:pt>
                <c:pt idx="3">
                  <c:v>March</c:v>
                </c:pt>
                <c:pt idx="4">
                  <c:v>April</c:v>
                </c:pt>
                <c:pt idx="5">
                  <c:v>May</c:v>
                </c:pt>
              </c:strCache>
            </c:strRef>
          </c:cat>
          <c:val>
            <c:numRef>
              <c:f>'Working Sheet'!$P$5:$P$10</c:f>
              <c:numCache>
                <c:formatCode>_-* #,##0.00_-;\-* #,##0.00_-;_-* "-"??_-;_-@_-</c:formatCode>
                <c:ptCount val="6"/>
                <c:pt idx="0">
                  <c:v>310.27096288089632</c:v>
                </c:pt>
                <c:pt idx="1">
                  <c:v>18.95676303262</c:v>
                </c:pt>
                <c:pt idx="2">
                  <c:v>31.385617945</c:v>
                </c:pt>
                <c:pt idx="3">
                  <c:v>13.690953878</c:v>
                </c:pt>
                <c:pt idx="4">
                  <c:v>18.354060048886964</c:v>
                </c:pt>
                <c:pt idx="5">
                  <c:v>22.617977643725041</c:v>
                </c:pt>
              </c:numCache>
            </c:numRef>
          </c:val>
          <c:extLst xmlns:c16r2="http://schemas.microsoft.com/office/drawing/2015/06/chart">
            <c:ext xmlns:c16="http://schemas.microsoft.com/office/drawing/2014/chart" uri="{C3380CC4-5D6E-409C-BE32-E72D297353CC}">
              <c16:uniqueId val="{00000000-8A86-401D-B3BB-EDB0594C3CC5}"/>
            </c:ext>
          </c:extLst>
        </c:ser>
        <c:dLbls/>
        <c:gapWidth val="100"/>
        <c:axId val="106023168"/>
        <c:axId val="106021632"/>
      </c:barChart>
      <c:lineChart>
        <c:grouping val="standard"/>
        <c:ser>
          <c:idx val="0"/>
          <c:order val="0"/>
          <c:spPr>
            <a:ln w="28575" cap="rnd">
              <a:solidFill>
                <a:srgbClr val="191970"/>
              </a:solidFill>
              <a:round/>
            </a:ln>
            <a:effectLst/>
          </c:spPr>
          <c:marker>
            <c:symbol val="circle"/>
            <c:size val="5"/>
            <c:spPr>
              <a:solidFill>
                <a:srgbClr val="191970"/>
              </a:solidFill>
              <a:ln w="28575">
                <a:solidFill>
                  <a:srgbClr val="191970"/>
                </a:solidFill>
              </a:ln>
              <a:effectLst/>
            </c:spPr>
          </c:marker>
          <c:dLbls>
            <c:spPr>
              <a:noFill/>
              <a:ln>
                <a:noFill/>
              </a:ln>
              <a:effectLst/>
            </c:spPr>
            <c:txPr>
              <a:bodyPr rot="0" spcFirstLastPara="1" vertOverflow="ellipsis" vert="horz" wrap="square" lIns="0" tIns="0" rIns="0" bIns="0" anchor="ctr" anchorCtr="1">
                <a:spAutoFit/>
              </a:bodyPr>
              <a:lstStyle/>
              <a:p>
                <a:pPr>
                  <a:defRPr sz="900" b="1" i="1" u="none" strike="noStrike" kern="1200" baseline="0">
                    <a:solidFill>
                      <a:srgbClr val="191970"/>
                    </a:solidFill>
                    <a:latin typeface="+mn-lt"/>
                    <a:ea typeface="+mn-ea"/>
                    <a:cs typeface="+mn-cs"/>
                  </a:defRPr>
                </a:pPr>
                <a:endParaRPr lang="en-US"/>
              </a:p>
            </c:txPr>
            <c:dLblPos val="t"/>
            <c:showVal val="1"/>
            <c:extLst xmlns:c16r2="http://schemas.microsoft.com/office/drawing/2015/06/char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'Working Sheet'!$K$5:$K$10</c:f>
              <c:strCache>
                <c:ptCount val="6"/>
                <c:pt idx="0">
                  <c:v>Rp2.024</c:v>
                </c:pt>
                <c:pt idx="1">
                  <c:v>January</c:v>
                </c:pt>
                <c:pt idx="2">
                  <c:v>February</c:v>
                </c:pt>
                <c:pt idx="3">
                  <c:v>March</c:v>
                </c:pt>
                <c:pt idx="4">
                  <c:v>April</c:v>
                </c:pt>
                <c:pt idx="5">
                  <c:v>May</c:v>
                </c:pt>
              </c:strCache>
            </c:strRef>
          </c:cat>
          <c:val>
            <c:numRef>
              <c:f>'Working Sheet'!$O$5:$O$10</c:f>
              <c:numCache>
                <c:formatCode>_-* #,##0.00_-;\-* #,##0.00_-;_-* "-"??_-;_-@_-</c:formatCode>
                <c:ptCount val="6"/>
                <c:pt idx="0">
                  <c:v>17.067100860754493</c:v>
                </c:pt>
                <c:pt idx="1">
                  <c:v>1.4300186211033574</c:v>
                </c:pt>
                <c:pt idx="2">
                  <c:v>1.9796462627977527</c:v>
                </c:pt>
                <c:pt idx="3">
                  <c:v>0.83388039939237701</c:v>
                </c:pt>
                <c:pt idx="4">
                  <c:v>0.96873094454625441</c:v>
                </c:pt>
                <c:pt idx="5">
                  <c:v>1.3292652193983445</c:v>
                </c:pt>
              </c:numCache>
            </c:numRef>
          </c:val>
          <c:extLst xmlns:c16r2="http://schemas.microsoft.com/office/drawing/2015/06/chart">
            <c:ext xmlns:c16="http://schemas.microsoft.com/office/drawing/2014/chart" uri="{C3380CC4-5D6E-409C-BE32-E72D297353CC}">
              <c16:uniqueId val="{00000001-8A86-401D-B3BB-EDB0594C3CC5}"/>
            </c:ext>
          </c:extLst>
        </c:ser>
        <c:ser>
          <c:idx val="2"/>
          <c:order val="2"/>
          <c:spPr>
            <a:ln w="28575" cap="rnd">
              <a:solidFill>
                <a:srgbClr val="4682B4"/>
              </a:solidFill>
              <a:round/>
            </a:ln>
            <a:effectLst/>
          </c:spPr>
          <c:marker>
            <c:symbol val="circle"/>
            <c:size val="5"/>
            <c:spPr>
              <a:solidFill>
                <a:srgbClr val="4682B4"/>
              </a:solidFill>
              <a:ln w="28575">
                <a:solidFill>
                  <a:srgbClr val="4682B4"/>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682B4"/>
                    </a:solidFill>
                    <a:latin typeface="+mn-lt"/>
                    <a:ea typeface="+mn-ea"/>
                    <a:cs typeface="+mn-cs"/>
                  </a:defRPr>
                </a:pPr>
                <a:endParaRPr lang="en-US"/>
              </a:p>
            </c:txPr>
            <c:dLblPos val="b"/>
            <c:showVal val="1"/>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Sheet'!$K$5:$K$10</c:f>
              <c:strCache>
                <c:ptCount val="6"/>
                <c:pt idx="0">
                  <c:v>Rp2.024</c:v>
                </c:pt>
                <c:pt idx="1">
                  <c:v>January</c:v>
                </c:pt>
                <c:pt idx="2">
                  <c:v>February</c:v>
                </c:pt>
                <c:pt idx="3">
                  <c:v>March</c:v>
                </c:pt>
                <c:pt idx="4">
                  <c:v>April</c:v>
                </c:pt>
                <c:pt idx="5">
                  <c:v>May</c:v>
                </c:pt>
              </c:strCache>
            </c:strRef>
          </c:cat>
          <c:val>
            <c:numRef>
              <c:f>'Working Sheet'!$Q$5:$Q$10</c:f>
              <c:numCache>
                <c:formatCode>_-* #,##0.00_-;\-* #,##0.00_-;_-* "-"??_-;_-@_-</c:formatCode>
                <c:ptCount val="6"/>
                <c:pt idx="0">
                  <c:v>16.958839882980563</c:v>
                </c:pt>
                <c:pt idx="1">
                  <c:v>0.69022067303331991</c:v>
                </c:pt>
                <c:pt idx="2">
                  <c:v>1.1086967074849998</c:v>
                </c:pt>
                <c:pt idx="3">
                  <c:v>0.67719239591306302</c:v>
                </c:pt>
                <c:pt idx="4">
                  <c:v>0.96303293672608836</c:v>
                </c:pt>
                <c:pt idx="5">
                  <c:v>0.85468127880210798</c:v>
                </c:pt>
              </c:numCache>
            </c:numRef>
          </c:val>
          <c:extLst xmlns:c16r2="http://schemas.microsoft.com/office/drawing/2015/06/chart">
            <c:ext xmlns:c16="http://schemas.microsoft.com/office/drawing/2014/chart" uri="{C3380CC4-5D6E-409C-BE32-E72D297353CC}">
              <c16:uniqueId val="{00000002-8A86-401D-B3BB-EDB0594C3CC5}"/>
            </c:ext>
          </c:extLst>
        </c:ser>
        <c:dLbls/>
        <c:marker val="1"/>
        <c:axId val="106010112"/>
        <c:axId val="106011648"/>
      </c:lineChart>
      <c:catAx>
        <c:axId val="106010112"/>
        <c:scaling>
          <c:orientation val="minMax"/>
        </c:scaling>
        <c:axPos val="b"/>
        <c:numFmt formatCode="General" sourceLinked="1"/>
        <c:maj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chemeClr val="tx1">
                    <a:lumMod val="65000"/>
                    <a:lumOff val="35000"/>
                  </a:schemeClr>
                </a:solidFill>
                <a:latin typeface="+mn-lt"/>
                <a:ea typeface="+mn-ea"/>
                <a:cs typeface="+mn-cs"/>
              </a:defRPr>
            </a:pPr>
            <a:endParaRPr lang="en-US"/>
          </a:p>
        </c:txPr>
        <c:crossAx val="106011648"/>
        <c:crosses val="autoZero"/>
        <c:auto val="1"/>
        <c:lblAlgn val="ctr"/>
        <c:lblOffset val="100"/>
      </c:catAx>
      <c:valAx>
        <c:axId val="106011648"/>
        <c:scaling>
          <c:orientation val="minMax"/>
        </c:scaling>
        <c:axPos val="l"/>
        <c:majorGridlines>
          <c:spPr>
            <a:ln w="9525" cap="flat" cmpd="sng" algn="ctr">
              <a:solidFill>
                <a:schemeClr val="accent1">
                  <a:lumMod val="20000"/>
                  <a:lumOff val="80000"/>
                </a:schemeClr>
              </a:solidFill>
              <a:prstDash val="sysDash"/>
              <a:round/>
            </a:ln>
            <a:effectLst/>
          </c:spPr>
        </c:majorGridlines>
        <c:numFmt formatCode="_-* #,##0.00_-;\-* #,##0.00_-;_-* &quot;-&quot;??_-;_-@_-" sourceLinked="1"/>
        <c:maj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10112"/>
        <c:crosses val="autoZero"/>
        <c:crossBetween val="between"/>
      </c:valAx>
      <c:valAx>
        <c:axId val="106021632"/>
        <c:scaling>
          <c:orientation val="minMax"/>
        </c:scaling>
        <c:axPos val="t"/>
        <c:numFmt formatCode="_-* #,##0.00_-;\-* #,##0.00_-;_-* &quot;-&quot;??_-;_-@_-" sourceLinked="1"/>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23168"/>
        <c:crosses val="max"/>
        <c:crossBetween val="between"/>
      </c:valAx>
      <c:catAx>
        <c:axId val="106023168"/>
        <c:scaling>
          <c:orientation val="minMax"/>
        </c:scaling>
        <c:delete val="1"/>
        <c:axPos val="l"/>
        <c:numFmt formatCode="General" sourceLinked="1"/>
        <c:tickLblPos val="none"/>
        <c:crossAx val="106021632"/>
        <c:crosses val="autoZero"/>
        <c:auto val="1"/>
        <c:lblAlgn val="ctr"/>
        <c:lblOffset val="100"/>
      </c:catAx>
      <c:spPr>
        <a:noFill/>
        <a:ln>
          <a:noFill/>
        </a:ln>
        <a:effectLst/>
      </c:spPr>
    </c:plotArea>
    <c:plotVisOnly val="1"/>
    <c:dispBlanksAs val="gap"/>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Working Sheet'!$O$3" lockText="1" noThreeD="1"/>
</file>

<file path=xl/ctrlProps/ctrlProp2.xml><?xml version="1.0" encoding="utf-8"?>
<formControlPr xmlns="http://schemas.microsoft.com/office/spreadsheetml/2009/9/main" objectType="CheckBox" checked="Checked" fmlaLink="'Working Sheet'!$P$3" lockText="1" noThreeD="1"/>
</file>

<file path=xl/ctrlProps/ctrlProp3.xml><?xml version="1.0" encoding="utf-8"?>
<formControlPr xmlns="http://schemas.microsoft.com/office/spreadsheetml/2009/9/main" objectType="CheckBox" checked="Checked" fmlaLink="'Working Sheet'!$Q$3" lockText="1" noThreeD="1"/>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6.png"/><Relationship Id="rId18" Type="http://schemas.openxmlformats.org/officeDocument/2006/relationships/image" Target="../media/image11.svg"/><Relationship Id="rId3" Type="http://schemas.openxmlformats.org/officeDocument/2006/relationships/image" Target="../media/image3.png"/><Relationship Id="rId21" Type="http://schemas.openxmlformats.org/officeDocument/2006/relationships/image" Target="../media/image13.svg"/><Relationship Id="rId7" Type="http://schemas.microsoft.com/office/2007/relationships/hdphoto" Target="../media/hdphoto2.wdp"/><Relationship Id="rId12" Type="http://schemas.openxmlformats.org/officeDocument/2006/relationships/chart" Target="../charts/chart8.xml"/><Relationship Id="rId17" Type="http://schemas.openxmlformats.org/officeDocument/2006/relationships/image" Target="../media/image8.png"/><Relationship Id="rId2" Type="http://schemas.openxmlformats.org/officeDocument/2006/relationships/image" Target="../media/image2.png"/><Relationship Id="rId16" Type="http://schemas.openxmlformats.org/officeDocument/2006/relationships/image" Target="../media/image9.svg"/><Relationship Id="rId20" Type="http://schemas.openxmlformats.org/officeDocument/2006/relationships/image" Target="../media/image9.png"/><Relationship Id="rId1" Type="http://schemas.openxmlformats.org/officeDocument/2006/relationships/chart" Target="../charts/chart3.xml"/><Relationship Id="rId6" Type="http://schemas.openxmlformats.org/officeDocument/2006/relationships/image" Target="../media/image5.png"/><Relationship Id="rId11" Type="http://schemas.openxmlformats.org/officeDocument/2006/relationships/chart" Target="../charts/chart7.xml"/><Relationship Id="rId5" Type="http://schemas.openxmlformats.org/officeDocument/2006/relationships/image" Target="../media/image4.png"/><Relationship Id="rId15" Type="http://schemas.openxmlformats.org/officeDocument/2006/relationships/image" Target="../media/image7.png"/><Relationship Id="rId10" Type="http://schemas.openxmlformats.org/officeDocument/2006/relationships/chart" Target="../charts/chart6.xml"/><Relationship Id="rId19" Type="http://schemas.openxmlformats.org/officeDocument/2006/relationships/chart" Target="../charts/chart9.xml"/><Relationship Id="rId4" Type="http://schemas.microsoft.com/office/2007/relationships/hdphoto" Target="../media/hdphoto1.wdp"/><Relationship Id="rId9" Type="http://schemas.openxmlformats.org/officeDocument/2006/relationships/chart" Target="../charts/chart5.xml"/><Relationship Id="rId14" Type="http://schemas.openxmlformats.org/officeDocument/2006/relationships/image" Target="../media/image7.svg"/><Relationship Id="rId22"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18</xdr:col>
      <xdr:colOff>654050</xdr:colOff>
      <xdr:row>9</xdr:row>
      <xdr:rowOff>101600</xdr:rowOff>
    </xdr:from>
    <xdr:to>
      <xdr:col>22</xdr:col>
      <xdr:colOff>200025</xdr:colOff>
      <xdr:row>14</xdr:row>
      <xdr:rowOff>120650</xdr:rowOff>
    </xdr:to>
    <mc:AlternateContent xmlns:mc="http://schemas.openxmlformats.org/markup-compatibility/2006">
      <mc:Choice xmlns:a14="http://schemas.microsoft.com/office/drawing/2010/main" xmlns="" Requires="a14">
        <xdr:graphicFrame macro="">
          <xdr:nvGraphicFramePr>
            <xdr:cNvPr id="7" name="YEARLY">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microsoft.com/office/drawing/2010/slicer">
              <sle:slicer xmlns:sle="http://schemas.microsoft.com/office/drawing/2010/slicer" name="YEARLY"/>
            </a:graphicData>
          </a:graphic>
        </xdr:graphicFrame>
      </mc:Choice>
      <mc:Fallback>
        <xdr:sp macro="" textlink="">
          <xdr:nvSpPr>
            <xdr:cNvPr id="2" name="Rectangle 1"/>
            <xdr:cNvSpPr>
              <a:spLocks noTextEdit="1"/>
            </xdr:cNvSpPr>
          </xdr:nvSpPr>
          <xdr:spPr>
            <a:xfrm>
              <a:off x="13042900" y="1879600"/>
              <a:ext cx="1828800" cy="9080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381000</xdr:colOff>
      <xdr:row>9</xdr:row>
      <xdr:rowOff>127000</xdr:rowOff>
    </xdr:from>
    <xdr:to>
      <xdr:col>24</xdr:col>
      <xdr:colOff>869950</xdr:colOff>
      <xdr:row>23</xdr:row>
      <xdr:rowOff>66669</xdr:rowOff>
    </xdr:to>
    <mc:AlternateContent xmlns:mc="http://schemas.openxmlformats.org/markup-compatibility/2006">
      <mc:Choice xmlns:a14="http://schemas.microsoft.com/office/drawing/2010/main" xmlns="" Requires="a14">
        <xdr:graphicFrame macro="">
          <xdr:nvGraphicFramePr>
            <xdr:cNvPr id="8" name="MONTHLY">
              <a:extLst>
                <a:ext uri="{FF2B5EF4-FFF2-40B4-BE49-F238E27FC236}">
                  <a16:creationId xmlns:a16="http://schemas.microsoft.com/office/drawing/2014/main" id="{00000000-0008-0000-0200-000008000000}"/>
                </a:ext>
              </a:extLst>
            </xdr:cNvPr>
            <xdr:cNvGraphicFramePr/>
          </xdr:nvGraphicFramePr>
          <xdr:xfrm>
            <a:off x="0" y="0"/>
            <a:ext cx="0" cy="0"/>
          </xdr:xfrm>
          <a:graphic>
            <a:graphicData uri="http://schemas.microsoft.com/office/drawing/2010/slicer">
              <sle:slicer xmlns:sle="http://schemas.microsoft.com/office/drawing/2010/slicer" name="MONTHLY"/>
            </a:graphicData>
          </a:graphic>
        </xdr:graphicFrame>
      </mc:Choice>
      <mc:Fallback>
        <xdr:sp macro="" textlink="">
          <xdr:nvSpPr>
            <xdr:cNvPr id="3" name="Rectangle 2"/>
            <xdr:cNvSpPr>
              <a:spLocks noTextEdit="1"/>
            </xdr:cNvSpPr>
          </xdr:nvSpPr>
          <xdr:spPr>
            <a:xfrm>
              <a:off x="15062200" y="1905000"/>
              <a:ext cx="1828800" cy="24288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673100</xdr:colOff>
      <xdr:row>14</xdr:row>
      <xdr:rowOff>165101</xdr:rowOff>
    </xdr:from>
    <xdr:to>
      <xdr:col>22</xdr:col>
      <xdr:colOff>219075</xdr:colOff>
      <xdr:row>19</xdr:row>
      <xdr:rowOff>107951</xdr:rowOff>
    </xdr:to>
    <mc:AlternateContent xmlns:mc="http://schemas.openxmlformats.org/markup-compatibility/2006">
      <mc:Choice xmlns:a14="http://schemas.microsoft.com/office/drawing/2010/main" xmlns="" Requires="a14">
        <xdr:graphicFrame macro="">
          <xdr:nvGraphicFramePr>
            <xdr:cNvPr id="5" name="SEMESTER">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microsoft.com/office/drawing/2010/slicer">
              <sle:slicer xmlns:sle="http://schemas.microsoft.com/office/drawing/2010/slicer" name="SEMESTER"/>
            </a:graphicData>
          </a:graphic>
        </xdr:graphicFrame>
      </mc:Choice>
      <mc:Fallback>
        <xdr:sp macro="" textlink="">
          <xdr:nvSpPr>
            <xdr:cNvPr id="4" name="Rectangle 3"/>
            <xdr:cNvSpPr>
              <a:spLocks noTextEdit="1"/>
            </xdr:cNvSpPr>
          </xdr:nvSpPr>
          <xdr:spPr>
            <a:xfrm>
              <a:off x="13061950" y="2832101"/>
              <a:ext cx="1828800" cy="8318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152400</xdr:colOff>
      <xdr:row>5</xdr:row>
      <xdr:rowOff>127000</xdr:rowOff>
    </xdr:from>
    <xdr:to>
      <xdr:col>41</xdr:col>
      <xdr:colOff>476250</xdr:colOff>
      <xdr:row>19</xdr:row>
      <xdr:rowOff>66669</xdr:rowOff>
    </xdr:to>
    <mc:AlternateContent xmlns:mc="http://schemas.openxmlformats.org/markup-compatibility/2006">
      <mc:Choice xmlns:a14="http://schemas.microsoft.com/office/drawing/2010/main" xmlns="" Requires="a14">
        <xdr:graphicFrame macro="">
          <xdr:nvGraphicFramePr>
            <xdr:cNvPr id="2" name="SUBSIDIARY">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SUBSIDIARY"/>
            </a:graphicData>
          </a:graphic>
        </xdr:graphicFrame>
      </mc:Choice>
      <mc:Fallback>
        <xdr:sp macro="" textlink="">
          <xdr:nvSpPr>
            <xdr:cNvPr id="5" name="Rectangle 4"/>
            <xdr:cNvSpPr>
              <a:spLocks noTextEdit="1"/>
            </xdr:cNvSpPr>
          </xdr:nvSpPr>
          <xdr:spPr>
            <a:xfrm>
              <a:off x="29762450" y="1193800"/>
              <a:ext cx="1828800" cy="2428869"/>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48</xdr:col>
      <xdr:colOff>38100</xdr:colOff>
      <xdr:row>17</xdr:row>
      <xdr:rowOff>0</xdr:rowOff>
    </xdr:from>
    <xdr:to>
      <xdr:col>56</xdr:col>
      <xdr:colOff>95250</xdr:colOff>
      <xdr:row>32</xdr:row>
      <xdr:rowOff>76200</xdr:rowOff>
    </xdr:to>
    <xdr:graphicFrame macro="">
      <xdr:nvGraphicFramePr>
        <xdr:cNvPr id="6" name="Chart 2">
          <a:extLst>
            <a:ext uri="{FF2B5EF4-FFF2-40B4-BE49-F238E27FC236}">
              <a16:creationId xmlns:a16="http://schemas.microsoft.com/office/drawing/2014/main" xmlns=""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127000</xdr:colOff>
      <xdr:row>7</xdr:row>
      <xdr:rowOff>50800</xdr:rowOff>
    </xdr:from>
    <xdr:to>
      <xdr:col>36</xdr:col>
      <xdr:colOff>882650</xdr:colOff>
      <xdr:row>22</xdr:row>
      <xdr:rowOff>127000</xdr:rowOff>
    </xdr:to>
    <xdr:graphicFrame macro="">
      <xdr:nvGraphicFramePr>
        <xdr:cNvPr id="11" name="Chart 10">
          <a:extLst>
            <a:ext uri="{FF2B5EF4-FFF2-40B4-BE49-F238E27FC236}">
              <a16:creationId xmlns:a16="http://schemas.microsoft.com/office/drawing/2014/main" xmlns="" id="{00000000-0008-0000-02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9071</xdr:colOff>
      <xdr:row>0</xdr:row>
      <xdr:rowOff>11792</xdr:rowOff>
    </xdr:from>
    <xdr:to>
      <xdr:col>16</xdr:col>
      <xdr:colOff>580571</xdr:colOff>
      <xdr:row>41</xdr:row>
      <xdr:rowOff>0</xdr:rowOff>
    </xdr:to>
    <xdr:sp macro="" textlink="">
      <xdr:nvSpPr>
        <xdr:cNvPr id="74" name="Rectangle: Rounded Corners 73">
          <a:extLst>
            <a:ext uri="{FF2B5EF4-FFF2-40B4-BE49-F238E27FC236}">
              <a16:creationId xmlns:a16="http://schemas.microsoft.com/office/drawing/2014/main" xmlns="" id="{00000000-0008-0000-0300-00004A000000}"/>
            </a:ext>
          </a:extLst>
        </xdr:cNvPr>
        <xdr:cNvSpPr/>
      </xdr:nvSpPr>
      <xdr:spPr>
        <a:xfrm>
          <a:off x="9071" y="11792"/>
          <a:ext cx="11166929" cy="7426779"/>
        </a:xfrm>
        <a:prstGeom prst="roundRect">
          <a:avLst>
            <a:gd name="adj" fmla="val 1424"/>
          </a:avLst>
        </a:prstGeom>
        <a:solidFill>
          <a:schemeClr val="accent5">
            <a:lumMod val="20000"/>
            <a:lumOff val="8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id-ID" sz="2400" b="1" i="0">
              <a:solidFill>
                <a:srgbClr val="0070C0"/>
              </a:solidFill>
              <a:latin typeface="Calibri" panose="020F0502020204030204" pitchFamily="34" charset="0"/>
              <a:cs typeface="Calibri" panose="020F0502020204030204" pitchFamily="34" charset="0"/>
            </a:rPr>
            <a:t>``</a:t>
          </a:r>
          <a:endParaRPr lang="en-ID" sz="2400" b="1" i="0">
            <a:solidFill>
              <a:srgbClr val="0070C0"/>
            </a:solidFill>
            <a:latin typeface="Calibri" panose="020F0502020204030204" pitchFamily="34" charset="0"/>
            <a:cs typeface="Calibri" panose="020F0502020204030204" pitchFamily="34" charset="0"/>
          </a:endParaRPr>
        </a:p>
      </xdr:txBody>
    </xdr:sp>
    <xdr:clientData/>
  </xdr:twoCellAnchor>
  <xdr:twoCellAnchor>
    <xdr:from>
      <xdr:col>12</xdr:col>
      <xdr:colOff>316589</xdr:colOff>
      <xdr:row>22</xdr:row>
      <xdr:rowOff>54433</xdr:rowOff>
    </xdr:from>
    <xdr:to>
      <xdr:col>16</xdr:col>
      <xdr:colOff>511731</xdr:colOff>
      <xdr:row>40</xdr:row>
      <xdr:rowOff>108856</xdr:rowOff>
    </xdr:to>
    <xdr:sp macro="" textlink="">
      <xdr:nvSpPr>
        <xdr:cNvPr id="53" name="Rectangle: Rounded Corners 52">
          <a:extLst>
            <a:ext uri="{FF2B5EF4-FFF2-40B4-BE49-F238E27FC236}">
              <a16:creationId xmlns:a16="http://schemas.microsoft.com/office/drawing/2014/main" xmlns="" id="{00000000-0008-0000-0300-000035000000}"/>
            </a:ext>
          </a:extLst>
        </xdr:cNvPr>
        <xdr:cNvSpPr/>
      </xdr:nvSpPr>
      <xdr:spPr>
        <a:xfrm>
          <a:off x="8263160" y="4045862"/>
          <a:ext cx="2844000" cy="3320137"/>
        </a:xfrm>
        <a:prstGeom prst="roundRect">
          <a:avLst>
            <a:gd name="adj" fmla="val 449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215900</xdr:colOff>
      <xdr:row>23</xdr:row>
      <xdr:rowOff>12700</xdr:rowOff>
    </xdr:from>
    <xdr:to>
      <xdr:col>16</xdr:col>
      <xdr:colOff>596900</xdr:colOff>
      <xdr:row>40</xdr:row>
      <xdr:rowOff>152400</xdr:rowOff>
    </xdr:to>
    <xdr:graphicFrame macro="">
      <xdr:nvGraphicFramePr>
        <xdr:cNvPr id="71" name="Chart 70">
          <a:extLst>
            <a:ext uri="{FF2B5EF4-FFF2-40B4-BE49-F238E27FC236}">
              <a16:creationId xmlns:a16="http://schemas.microsoft.com/office/drawing/2014/main" xmlns="" id="{00000000-0008-0000-0300-00004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154215</xdr:colOff>
      <xdr:row>9</xdr:row>
      <xdr:rowOff>102506</xdr:rowOff>
    </xdr:from>
    <xdr:to>
      <xdr:col>12</xdr:col>
      <xdr:colOff>217714</xdr:colOff>
      <xdr:row>26</xdr:row>
      <xdr:rowOff>145143</xdr:rowOff>
    </xdr:to>
    <xdr:sp macro="" textlink="">
      <xdr:nvSpPr>
        <xdr:cNvPr id="6" name="Rectangle: Rounded Corners 5">
          <a:extLst>
            <a:ext uri="{FF2B5EF4-FFF2-40B4-BE49-F238E27FC236}">
              <a16:creationId xmlns:a16="http://schemas.microsoft.com/office/drawing/2014/main" xmlns="" id="{00000000-0008-0000-0300-000006000000}"/>
            </a:ext>
          </a:extLst>
        </xdr:cNvPr>
        <xdr:cNvSpPr/>
      </xdr:nvSpPr>
      <xdr:spPr>
        <a:xfrm>
          <a:off x="1478644" y="1735363"/>
          <a:ext cx="6685641" cy="3126923"/>
        </a:xfrm>
        <a:prstGeom prst="roundRect">
          <a:avLst>
            <a:gd name="adj" fmla="val 2725"/>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156933</xdr:colOff>
      <xdr:row>27</xdr:row>
      <xdr:rowOff>52009</xdr:rowOff>
    </xdr:from>
    <xdr:to>
      <xdr:col>12</xdr:col>
      <xdr:colOff>217715</xdr:colOff>
      <xdr:row>40</xdr:row>
      <xdr:rowOff>136071</xdr:rowOff>
    </xdr:to>
    <xdr:sp macro="" textlink="">
      <xdr:nvSpPr>
        <xdr:cNvPr id="22" name="Rectangle: Rounded Corners 21">
          <a:extLst>
            <a:ext uri="{FF2B5EF4-FFF2-40B4-BE49-F238E27FC236}">
              <a16:creationId xmlns:a16="http://schemas.microsoft.com/office/drawing/2014/main" xmlns="" id="{00000000-0008-0000-0300-000016000000}"/>
            </a:ext>
          </a:extLst>
        </xdr:cNvPr>
        <xdr:cNvSpPr/>
      </xdr:nvSpPr>
      <xdr:spPr>
        <a:xfrm>
          <a:off x="1481362" y="4950580"/>
          <a:ext cx="6682924" cy="2442634"/>
        </a:xfrm>
        <a:prstGeom prst="roundRect">
          <a:avLst>
            <a:gd name="adj" fmla="val 449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69849</xdr:colOff>
      <xdr:row>0</xdr:row>
      <xdr:rowOff>95250</xdr:rowOff>
    </xdr:from>
    <xdr:to>
      <xdr:col>5</xdr:col>
      <xdr:colOff>76200</xdr:colOff>
      <xdr:row>4</xdr:row>
      <xdr:rowOff>0</xdr:rowOff>
    </xdr:to>
    <xdr:sp macro="" textlink="">
      <xdr:nvSpPr>
        <xdr:cNvPr id="3" name="Rectangle: Rounded Corners 2">
          <a:extLst>
            <a:ext uri="{FF2B5EF4-FFF2-40B4-BE49-F238E27FC236}">
              <a16:creationId xmlns:a16="http://schemas.microsoft.com/office/drawing/2014/main" xmlns="" id="{00000000-0008-0000-0300-000003000000}"/>
            </a:ext>
          </a:extLst>
        </xdr:cNvPr>
        <xdr:cNvSpPr/>
      </xdr:nvSpPr>
      <xdr:spPr>
        <a:xfrm>
          <a:off x="69849" y="95250"/>
          <a:ext cx="3317422" cy="630464"/>
        </a:xfrm>
        <a:prstGeom prst="roundRect">
          <a:avLst>
            <a:gd name="adj" fmla="val 5839"/>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editAs="oneCell">
    <xdr:from>
      <xdr:col>0</xdr:col>
      <xdr:colOff>171451</xdr:colOff>
      <xdr:row>1</xdr:row>
      <xdr:rowOff>0</xdr:rowOff>
    </xdr:from>
    <xdr:to>
      <xdr:col>1</xdr:col>
      <xdr:colOff>463550</xdr:colOff>
      <xdr:row>3</xdr:row>
      <xdr:rowOff>88900</xdr:rowOff>
    </xdr:to>
    <xdr:pic>
      <xdr:nvPicPr>
        <xdr:cNvPr id="4" name="Picture 3" descr="PT Krakatau Steel Logo PNG Vector">
          <a:extLst>
            <a:ext uri="{FF2B5EF4-FFF2-40B4-BE49-F238E27FC236}">
              <a16:creationId xmlns:a16="http://schemas.microsoft.com/office/drawing/2014/main" xmlns="" id="{00000000-0008-0000-03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xmlns="" val="0"/>
            </a:ext>
          </a:extLst>
        </a:blip>
        <a:srcRect/>
        <a:stretch>
          <a:fillRect/>
        </a:stretch>
      </xdr:blipFill>
      <xdr:spPr bwMode="auto">
        <a:xfrm>
          <a:off x="171451" y="177800"/>
          <a:ext cx="952499" cy="444500"/>
        </a:xfrm>
        <a:prstGeom prst="rect">
          <a:avLst/>
        </a:prstGeom>
        <a:noFill/>
        <a:extLst>
          <a:ext uri="{909E8E84-426E-40DD-AFC4-6F175D3DCCD1}">
            <a14:hiddenFill xmlns:a14="http://schemas.microsoft.com/office/drawing/2010/main" xmlns="">
              <a:solidFill>
                <a:srgbClr val="FFFFFF"/>
              </a:solidFill>
            </a14:hiddenFill>
          </a:ext>
        </a:extLst>
      </xdr:spPr>
    </xdr:pic>
    <xdr:clientData/>
  </xdr:twoCellAnchor>
  <xdr:twoCellAnchor>
    <xdr:from>
      <xdr:col>1</xdr:col>
      <xdr:colOff>558800</xdr:colOff>
      <xdr:row>1</xdr:row>
      <xdr:rowOff>0</xdr:rowOff>
    </xdr:from>
    <xdr:to>
      <xdr:col>1</xdr:col>
      <xdr:colOff>558800</xdr:colOff>
      <xdr:row>3</xdr:row>
      <xdr:rowOff>88900</xdr:rowOff>
    </xdr:to>
    <xdr:cxnSp macro="">
      <xdr:nvCxnSpPr>
        <xdr:cNvPr id="10" name="Straight Connector 9">
          <a:extLst>
            <a:ext uri="{FF2B5EF4-FFF2-40B4-BE49-F238E27FC236}">
              <a16:creationId xmlns:a16="http://schemas.microsoft.com/office/drawing/2014/main" xmlns="" id="{00000000-0008-0000-0300-00000A000000}"/>
            </a:ext>
          </a:extLst>
        </xdr:cNvPr>
        <xdr:cNvCxnSpPr/>
      </xdr:nvCxnSpPr>
      <xdr:spPr>
        <a:xfrm>
          <a:off x="1219200" y="177800"/>
          <a:ext cx="0" cy="444500"/>
        </a:xfrm>
        <a:prstGeom prst="line">
          <a:avLst/>
        </a:prstGeom>
      </xdr:spPr>
      <xdr:style>
        <a:lnRef idx="1">
          <a:schemeClr val="accent5"/>
        </a:lnRef>
        <a:fillRef idx="0">
          <a:schemeClr val="accent5"/>
        </a:fillRef>
        <a:effectRef idx="0">
          <a:schemeClr val="accent5"/>
        </a:effectRef>
        <a:fontRef idx="minor">
          <a:schemeClr val="tx1"/>
        </a:fontRef>
      </xdr:style>
    </xdr:cxnSp>
    <xdr:clientData/>
  </xdr:twoCellAnchor>
  <xdr:oneCellAnchor>
    <xdr:from>
      <xdr:col>1</xdr:col>
      <xdr:colOff>565151</xdr:colOff>
      <xdr:row>0</xdr:row>
      <xdr:rowOff>101600</xdr:rowOff>
    </xdr:from>
    <xdr:ext cx="2101850" cy="609013"/>
    <xdr:sp macro="" textlink="">
      <xdr:nvSpPr>
        <xdr:cNvPr id="11" name="TextBox 10">
          <a:extLst>
            <a:ext uri="{FF2B5EF4-FFF2-40B4-BE49-F238E27FC236}">
              <a16:creationId xmlns:a16="http://schemas.microsoft.com/office/drawing/2014/main" xmlns="" id="{00000000-0008-0000-0300-00000B000000}"/>
            </a:ext>
          </a:extLst>
        </xdr:cNvPr>
        <xdr:cNvSpPr txBox="1"/>
      </xdr:nvSpPr>
      <xdr:spPr>
        <a:xfrm>
          <a:off x="1225551" y="101600"/>
          <a:ext cx="210185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id-ID" sz="1100" b="1">
              <a:latin typeface="Calibri" panose="020F0502020204030204" pitchFamily="34" charset="0"/>
              <a:cs typeface="Calibri" panose="020F0502020204030204" pitchFamily="34" charset="0"/>
            </a:rPr>
            <a:t>Downstream</a:t>
          </a:r>
          <a:r>
            <a:rPr lang="id-ID" sz="1100" b="1" baseline="0">
              <a:latin typeface="Calibri" panose="020F0502020204030204" pitchFamily="34" charset="0"/>
              <a:cs typeface="Calibri" panose="020F0502020204030204" pitchFamily="34" charset="0"/>
            </a:rPr>
            <a:t> Team</a:t>
          </a:r>
        </a:p>
        <a:p>
          <a:r>
            <a:rPr lang="id-ID" sz="1100" b="1" baseline="0">
              <a:latin typeface="Calibri" panose="020F0502020204030204" pitchFamily="34" charset="0"/>
              <a:cs typeface="Calibri" panose="020F0502020204030204" pitchFamily="34" charset="0"/>
            </a:rPr>
            <a:t>Research &amp; Development Dept.</a:t>
          </a:r>
        </a:p>
        <a:p>
          <a:r>
            <a:rPr lang="id-ID" sz="1100" b="1" baseline="0">
              <a:latin typeface="Calibri" panose="020F0502020204030204" pitchFamily="34" charset="0"/>
              <a:cs typeface="Calibri" panose="020F0502020204030204" pitchFamily="34" charset="0"/>
            </a:rPr>
            <a:t>Research &amp; Technology Division</a:t>
          </a:r>
          <a:endParaRPr lang="en-ID" sz="1100" b="1">
            <a:latin typeface="Calibri" panose="020F0502020204030204" pitchFamily="34" charset="0"/>
            <a:cs typeface="Calibri" panose="020F0502020204030204" pitchFamily="34" charset="0"/>
          </a:endParaRPr>
        </a:p>
      </xdr:txBody>
    </xdr:sp>
    <xdr:clientData/>
  </xdr:oneCellAnchor>
  <xdr:twoCellAnchor>
    <xdr:from>
      <xdr:col>5</xdr:col>
      <xdr:colOff>158750</xdr:colOff>
      <xdr:row>0</xdr:row>
      <xdr:rowOff>95250</xdr:rowOff>
    </xdr:from>
    <xdr:to>
      <xdr:col>16</xdr:col>
      <xdr:colOff>506392</xdr:colOff>
      <xdr:row>4</xdr:row>
      <xdr:rowOff>6350</xdr:rowOff>
    </xdr:to>
    <xdr:sp macro="" textlink="">
      <xdr:nvSpPr>
        <xdr:cNvPr id="12" name="Rectangle: Rounded Corners 11">
          <a:extLst>
            <a:ext uri="{FF2B5EF4-FFF2-40B4-BE49-F238E27FC236}">
              <a16:creationId xmlns:a16="http://schemas.microsoft.com/office/drawing/2014/main" xmlns="" id="{00000000-0008-0000-0300-00000C000000}"/>
            </a:ext>
          </a:extLst>
        </xdr:cNvPr>
        <xdr:cNvSpPr/>
      </xdr:nvSpPr>
      <xdr:spPr>
        <a:xfrm>
          <a:off x="3469821" y="95250"/>
          <a:ext cx="7632000" cy="636814"/>
        </a:xfrm>
        <a:prstGeom prst="roundRect">
          <a:avLst>
            <a:gd name="adj" fmla="val 5839"/>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id-ID" sz="2400" b="1" i="0">
              <a:solidFill>
                <a:srgbClr val="0070C0"/>
              </a:solidFill>
              <a:latin typeface="Calibri" panose="020F0502020204030204" pitchFamily="34" charset="0"/>
              <a:cs typeface="Calibri" panose="020F0502020204030204" pitchFamily="34" charset="0"/>
            </a:rPr>
            <a:t>MONITORING</a:t>
          </a:r>
          <a:r>
            <a:rPr lang="id-ID" sz="2400" b="1" i="0" baseline="0">
              <a:solidFill>
                <a:srgbClr val="0070C0"/>
              </a:solidFill>
              <a:latin typeface="Calibri" panose="020F0502020204030204" pitchFamily="34" charset="0"/>
              <a:cs typeface="Calibri" panose="020F0502020204030204" pitchFamily="34" charset="0"/>
            </a:rPr>
            <a:t> KINERJA HILIRISASI KRAKATAU STEEL GROUP</a:t>
          </a:r>
          <a:endParaRPr lang="en-ID" sz="2400" b="1" i="0">
            <a:solidFill>
              <a:srgbClr val="0070C0"/>
            </a:solidFill>
            <a:latin typeface="Calibri" panose="020F0502020204030204" pitchFamily="34" charset="0"/>
            <a:cs typeface="Calibri" panose="020F0502020204030204" pitchFamily="34" charset="0"/>
          </a:endParaRPr>
        </a:p>
      </xdr:txBody>
    </xdr:sp>
    <xdr:clientData/>
  </xdr:twoCellAnchor>
  <xdr:twoCellAnchor>
    <xdr:from>
      <xdr:col>0</xdr:col>
      <xdr:colOff>69849</xdr:colOff>
      <xdr:row>4</xdr:row>
      <xdr:rowOff>50800</xdr:rowOff>
    </xdr:from>
    <xdr:to>
      <xdr:col>16</xdr:col>
      <xdr:colOff>490420</xdr:colOff>
      <xdr:row>4</xdr:row>
      <xdr:rowOff>140800</xdr:rowOff>
    </xdr:to>
    <xdr:sp macro="" textlink="">
      <xdr:nvSpPr>
        <xdr:cNvPr id="16" name="Rectangle: Rounded Corners 15">
          <a:extLst>
            <a:ext uri="{FF2B5EF4-FFF2-40B4-BE49-F238E27FC236}">
              <a16:creationId xmlns:a16="http://schemas.microsoft.com/office/drawing/2014/main" xmlns="" id="{00000000-0008-0000-0300-000010000000}"/>
            </a:ext>
          </a:extLst>
        </xdr:cNvPr>
        <xdr:cNvSpPr/>
      </xdr:nvSpPr>
      <xdr:spPr>
        <a:xfrm>
          <a:off x="69849" y="776514"/>
          <a:ext cx="11016000" cy="90000"/>
        </a:xfrm>
        <a:prstGeom prst="roundRect">
          <a:avLst>
            <a:gd name="adj" fmla="val 5839"/>
          </a:avLst>
        </a:prstGeom>
        <a:solidFill>
          <a:schemeClr val="accent1">
            <a:lumMod val="5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D" sz="1600" b="1" i="0">
            <a:solidFill>
              <a:srgbClr val="0070C0"/>
            </a:solidFill>
            <a:latin typeface="Calibri" panose="020F0502020204030204" pitchFamily="34" charset="0"/>
            <a:cs typeface="Calibri" panose="020F0502020204030204" pitchFamily="34" charset="0"/>
          </a:endParaRPr>
        </a:p>
      </xdr:txBody>
    </xdr:sp>
    <xdr:clientData/>
  </xdr:twoCellAnchor>
  <xdr:twoCellAnchor>
    <xdr:from>
      <xdr:col>0</xdr:col>
      <xdr:colOff>69850</xdr:colOff>
      <xdr:row>5</xdr:row>
      <xdr:rowOff>38100</xdr:rowOff>
    </xdr:from>
    <xdr:to>
      <xdr:col>2</xdr:col>
      <xdr:colOff>26237</xdr:colOff>
      <xdr:row>12</xdr:row>
      <xdr:rowOff>172357</xdr:rowOff>
    </xdr:to>
    <xdr:sp macro="" textlink="">
      <xdr:nvSpPr>
        <xdr:cNvPr id="17" name="Rectangle: Rounded Corners 16">
          <a:extLst>
            <a:ext uri="{FF2B5EF4-FFF2-40B4-BE49-F238E27FC236}">
              <a16:creationId xmlns:a16="http://schemas.microsoft.com/office/drawing/2014/main" xmlns="" id="{00000000-0008-0000-0300-000011000000}"/>
            </a:ext>
          </a:extLst>
        </xdr:cNvPr>
        <xdr:cNvSpPr/>
      </xdr:nvSpPr>
      <xdr:spPr>
        <a:xfrm>
          <a:off x="69850" y="945243"/>
          <a:ext cx="1280816" cy="1404257"/>
        </a:xfrm>
        <a:prstGeom prst="roundRect">
          <a:avLst>
            <a:gd name="adj" fmla="val 5839"/>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D" sz="1600" b="1" i="0">
            <a:solidFill>
              <a:srgbClr val="0070C0"/>
            </a:solidFill>
            <a:latin typeface="Calibri" panose="020F0502020204030204" pitchFamily="34" charset="0"/>
            <a:cs typeface="Calibri" panose="020F0502020204030204" pitchFamily="34" charset="0"/>
          </a:endParaRPr>
        </a:p>
      </xdr:txBody>
    </xdr:sp>
    <xdr:clientData/>
  </xdr:twoCellAnchor>
  <xdr:twoCellAnchor>
    <xdr:from>
      <xdr:col>2</xdr:col>
      <xdr:colOff>146050</xdr:colOff>
      <xdr:row>5</xdr:row>
      <xdr:rowOff>38100</xdr:rowOff>
    </xdr:from>
    <xdr:to>
      <xdr:col>5</xdr:col>
      <xdr:colOff>264584</xdr:colOff>
      <xdr:row>9</xdr:row>
      <xdr:rowOff>0</xdr:rowOff>
    </xdr:to>
    <xdr:sp macro="" textlink="'Working Sheet'!$B$4">
      <xdr:nvSpPr>
        <xdr:cNvPr id="30" name="Rectangle: Rounded Corners 29">
          <a:extLst>
            <a:ext uri="{FF2B5EF4-FFF2-40B4-BE49-F238E27FC236}">
              <a16:creationId xmlns:a16="http://schemas.microsoft.com/office/drawing/2014/main" xmlns="" id="{00000000-0008-0000-0300-00001E000000}"/>
            </a:ext>
          </a:extLst>
        </xdr:cNvPr>
        <xdr:cNvSpPr/>
      </xdr:nvSpPr>
      <xdr:spPr>
        <a:xfrm>
          <a:off x="1458383" y="937683"/>
          <a:ext cx="2087034" cy="681567"/>
        </a:xfrm>
        <a:prstGeom prst="roundRect">
          <a:avLst>
            <a:gd name="adj" fmla="val 5839"/>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indent="0" algn="ctr"/>
          <a:fld id="{18C4AB9D-D104-43A0-A09C-418F5EE3CD1F}" type="TxLink">
            <a:rPr lang="en-US" sz="2400" b="1" i="0" u="none" strike="noStrike" baseline="0">
              <a:solidFill>
                <a:srgbClr val="002060"/>
              </a:solidFill>
              <a:latin typeface="Tahoma" panose="020B0604030504040204" pitchFamily="34" charset="0"/>
              <a:ea typeface="Tahoma" panose="020B0604030504040204" pitchFamily="34" charset="0"/>
              <a:cs typeface="Tahoma" panose="020B0604030504040204" pitchFamily="34" charset="0"/>
            </a:rPr>
            <a:pPr marL="0" indent="0" algn="ctr"/>
            <a:t>Sum of TONASE</a:t>
          </a:fld>
          <a:endParaRPr lang="id-ID" sz="2400" b="1" i="0" u="none" strike="noStrike" baseline="0">
            <a:solidFill>
              <a:srgbClr val="00206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5</xdr:col>
      <xdr:colOff>334682</xdr:colOff>
      <xdr:row>5</xdr:row>
      <xdr:rowOff>34924</xdr:rowOff>
    </xdr:from>
    <xdr:to>
      <xdr:col>11</xdr:col>
      <xdr:colOff>82550</xdr:colOff>
      <xdr:row>9</xdr:row>
      <xdr:rowOff>0</xdr:rowOff>
    </xdr:to>
    <xdr:sp macro="" textlink="'Working Sheet'!$C$4">
      <xdr:nvSpPr>
        <xdr:cNvPr id="31" name="Rectangle: Rounded Corners 30">
          <a:extLst>
            <a:ext uri="{FF2B5EF4-FFF2-40B4-BE49-F238E27FC236}">
              <a16:creationId xmlns:a16="http://schemas.microsoft.com/office/drawing/2014/main" xmlns="" id="{00000000-0008-0000-0300-00001F000000}"/>
            </a:ext>
          </a:extLst>
        </xdr:cNvPr>
        <xdr:cNvSpPr/>
      </xdr:nvSpPr>
      <xdr:spPr>
        <a:xfrm>
          <a:off x="3636682" y="923924"/>
          <a:ext cx="3710268" cy="676276"/>
        </a:xfrm>
        <a:prstGeom prst="roundRect">
          <a:avLst>
            <a:gd name="adj" fmla="val 5839"/>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indent="0" algn="ctr"/>
          <a:fld id="{4E19E897-F402-4B47-8FD3-DA222E93630F}" type="TxLink">
            <a:rPr lang="en-US" sz="2400" b="1" i="0" u="none" strike="noStrike" baseline="0">
              <a:solidFill>
                <a:srgbClr val="002060"/>
              </a:solidFill>
              <a:latin typeface="Tahoma" panose="020B0604030504040204" pitchFamily="34" charset="0"/>
              <a:ea typeface="Tahoma" panose="020B0604030504040204" pitchFamily="34" charset="0"/>
              <a:cs typeface="Tahoma" panose="020B0604030504040204" pitchFamily="34" charset="0"/>
            </a:rPr>
            <a:pPr marL="0" indent="0" algn="ctr"/>
            <a:t>Sum of REVENUE</a:t>
          </a:fld>
          <a:endParaRPr lang="en-ID" sz="2400" b="1" i="0" u="none" strike="noStrike" baseline="0">
            <a:solidFill>
              <a:srgbClr val="00206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11</xdr:col>
      <xdr:colOff>155016</xdr:colOff>
      <xdr:row>5</xdr:row>
      <xdr:rowOff>34924</xdr:rowOff>
    </xdr:from>
    <xdr:to>
      <xdr:col>16</xdr:col>
      <xdr:colOff>508500</xdr:colOff>
      <xdr:row>8</xdr:row>
      <xdr:rowOff>171449</xdr:rowOff>
    </xdr:to>
    <xdr:sp macro="" textlink="'Working Sheet'!$D$4">
      <xdr:nvSpPr>
        <xdr:cNvPr id="32" name="Rectangle: Rounded Corners 31">
          <a:extLst>
            <a:ext uri="{FF2B5EF4-FFF2-40B4-BE49-F238E27FC236}">
              <a16:creationId xmlns:a16="http://schemas.microsoft.com/office/drawing/2014/main" xmlns="" id="{00000000-0008-0000-0300-000020000000}"/>
            </a:ext>
          </a:extLst>
        </xdr:cNvPr>
        <xdr:cNvSpPr/>
      </xdr:nvSpPr>
      <xdr:spPr>
        <a:xfrm>
          <a:off x="7419416" y="923924"/>
          <a:ext cx="3655484" cy="669925"/>
        </a:xfrm>
        <a:prstGeom prst="roundRect">
          <a:avLst>
            <a:gd name="adj" fmla="val 5839"/>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marL="0" indent="0" algn="ctr"/>
          <a:fld id="{83A798B1-F2F4-43BD-A066-25165983A446}" type="TxLink">
            <a:rPr lang="en-US" sz="2400" b="1" i="0" u="none" strike="noStrike" baseline="0">
              <a:solidFill>
                <a:srgbClr val="002060"/>
              </a:solidFill>
              <a:latin typeface="Tahoma" panose="020B0604030504040204" pitchFamily="34" charset="0"/>
              <a:ea typeface="Tahoma" panose="020B0604030504040204" pitchFamily="34" charset="0"/>
              <a:cs typeface="Tahoma" panose="020B0604030504040204" pitchFamily="34" charset="0"/>
            </a:rPr>
            <a:pPr marL="0" indent="0" algn="ctr"/>
            <a:t>Sum of GROSS PROFIT</a:t>
          </a:fld>
          <a:endParaRPr lang="en-ID" sz="2400" b="1" i="0" u="none" strike="noStrike" baseline="0">
            <a:solidFill>
              <a:srgbClr val="002060"/>
            </a:solidFill>
            <a:latin typeface="Tahoma" panose="020B0604030504040204" pitchFamily="34" charset="0"/>
            <a:ea typeface="Tahoma" panose="020B0604030504040204" pitchFamily="34" charset="0"/>
            <a:cs typeface="Tahoma" panose="020B0604030504040204" pitchFamily="34" charset="0"/>
          </a:endParaRPr>
        </a:p>
      </xdr:txBody>
    </xdr:sp>
    <xdr:clientData/>
  </xdr:twoCellAnchor>
  <xdr:oneCellAnchor>
    <xdr:from>
      <xdr:col>2</xdr:col>
      <xdr:colOff>322233</xdr:colOff>
      <xdr:row>5</xdr:row>
      <xdr:rowOff>44450</xdr:rowOff>
    </xdr:from>
    <xdr:ext cx="1659942" cy="259879"/>
    <xdr:sp macro="" textlink="">
      <xdr:nvSpPr>
        <xdr:cNvPr id="2" name="TextBox 1">
          <a:extLst>
            <a:ext uri="{FF2B5EF4-FFF2-40B4-BE49-F238E27FC236}">
              <a16:creationId xmlns:a16="http://schemas.microsoft.com/office/drawing/2014/main" xmlns="" id="{00000000-0008-0000-0300-000002000000}"/>
            </a:ext>
          </a:extLst>
        </xdr:cNvPr>
        <xdr:cNvSpPr txBox="1"/>
      </xdr:nvSpPr>
      <xdr:spPr>
        <a:xfrm>
          <a:off x="1643033" y="933450"/>
          <a:ext cx="1659942"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id-ID" sz="1200" b="1">
              <a:solidFill>
                <a:schemeClr val="accent1"/>
              </a:solidFill>
              <a:latin typeface="+mn-lt"/>
              <a:ea typeface="+mn-ea"/>
              <a:cs typeface="+mn-cs"/>
            </a:rPr>
            <a:t>TOTAL</a:t>
          </a:r>
          <a:r>
            <a:rPr lang="id-ID" sz="1200" b="1" baseline="0">
              <a:solidFill>
                <a:schemeClr val="accent1"/>
              </a:solidFill>
              <a:latin typeface="+mn-lt"/>
              <a:ea typeface="+mn-ea"/>
              <a:cs typeface="+mn-cs"/>
            </a:rPr>
            <a:t> VOLUME (TON)</a:t>
          </a:r>
          <a:endParaRPr lang="en-ID" sz="1200" b="1">
            <a:solidFill>
              <a:schemeClr val="accent1"/>
            </a:solidFill>
            <a:latin typeface="+mn-lt"/>
            <a:ea typeface="+mn-ea"/>
            <a:cs typeface="+mn-cs"/>
          </a:endParaRPr>
        </a:p>
      </xdr:txBody>
    </xdr:sp>
    <xdr:clientData/>
  </xdr:oneCellAnchor>
  <xdr:oneCellAnchor>
    <xdr:from>
      <xdr:col>11</xdr:col>
      <xdr:colOff>351866</xdr:colOff>
      <xdr:row>5</xdr:row>
      <xdr:rowOff>44450</xdr:rowOff>
    </xdr:from>
    <xdr:ext cx="1131335" cy="259879"/>
    <xdr:sp macro="" textlink="">
      <xdr:nvSpPr>
        <xdr:cNvPr id="21" name="TextBox 20">
          <a:extLst>
            <a:ext uri="{FF2B5EF4-FFF2-40B4-BE49-F238E27FC236}">
              <a16:creationId xmlns:a16="http://schemas.microsoft.com/office/drawing/2014/main" xmlns="" id="{00000000-0008-0000-0300-000015000000}"/>
            </a:ext>
          </a:extLst>
        </xdr:cNvPr>
        <xdr:cNvSpPr txBox="1"/>
      </xdr:nvSpPr>
      <xdr:spPr>
        <a:xfrm>
          <a:off x="7636223" y="951593"/>
          <a:ext cx="1131335"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id-ID" sz="1200" b="1">
              <a:solidFill>
                <a:schemeClr val="accent1"/>
              </a:solidFill>
              <a:latin typeface="+mn-lt"/>
              <a:ea typeface="+mn-ea"/>
              <a:cs typeface="+mn-cs"/>
            </a:rPr>
            <a:t>TOTAL PROFIT</a:t>
          </a:r>
          <a:endParaRPr lang="en-ID" sz="1200" b="1">
            <a:solidFill>
              <a:schemeClr val="accent1"/>
            </a:solidFill>
            <a:latin typeface="+mn-lt"/>
            <a:ea typeface="+mn-ea"/>
            <a:cs typeface="+mn-cs"/>
          </a:endParaRPr>
        </a:p>
      </xdr:txBody>
    </xdr:sp>
    <xdr:clientData/>
  </xdr:oneCellAnchor>
  <xdr:oneCellAnchor>
    <xdr:from>
      <xdr:col>5</xdr:col>
      <xdr:colOff>495800</xdr:colOff>
      <xdr:row>5</xdr:row>
      <xdr:rowOff>38100</xdr:rowOff>
    </xdr:from>
    <xdr:ext cx="1270669" cy="259879"/>
    <xdr:sp macro="" textlink="">
      <xdr:nvSpPr>
        <xdr:cNvPr id="24" name="TextBox 23">
          <a:extLst>
            <a:ext uri="{FF2B5EF4-FFF2-40B4-BE49-F238E27FC236}">
              <a16:creationId xmlns:a16="http://schemas.microsoft.com/office/drawing/2014/main" xmlns="" id="{00000000-0008-0000-0300-000018000000}"/>
            </a:ext>
          </a:extLst>
        </xdr:cNvPr>
        <xdr:cNvSpPr txBox="1"/>
      </xdr:nvSpPr>
      <xdr:spPr>
        <a:xfrm>
          <a:off x="3806871" y="945243"/>
          <a:ext cx="1270669"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id-ID" sz="1200" b="1">
              <a:solidFill>
                <a:schemeClr val="accent1"/>
              </a:solidFill>
              <a:latin typeface="+mn-lt"/>
              <a:ea typeface="+mn-ea"/>
              <a:cs typeface="+mn-cs"/>
            </a:rPr>
            <a:t>TOTAL REVENUE</a:t>
          </a:r>
          <a:endParaRPr lang="en-ID" sz="1200" b="1">
            <a:solidFill>
              <a:schemeClr val="accent1"/>
            </a:solidFill>
            <a:latin typeface="+mn-lt"/>
            <a:ea typeface="+mn-ea"/>
            <a:cs typeface="+mn-cs"/>
          </a:endParaRPr>
        </a:p>
      </xdr:txBody>
    </xdr:sp>
    <xdr:clientData/>
  </xdr:oneCellAnchor>
  <xdr:twoCellAnchor>
    <xdr:from>
      <xdr:col>0</xdr:col>
      <xdr:colOff>63499</xdr:colOff>
      <xdr:row>13</xdr:row>
      <xdr:rowOff>115210</xdr:rowOff>
    </xdr:from>
    <xdr:to>
      <xdr:col>2</xdr:col>
      <xdr:colOff>26237</xdr:colOff>
      <xdr:row>33</xdr:row>
      <xdr:rowOff>146960</xdr:rowOff>
    </xdr:to>
    <xdr:sp macro="" textlink="">
      <xdr:nvSpPr>
        <xdr:cNvPr id="38" name="Rectangle: Rounded Corners 37">
          <a:extLst>
            <a:ext uri="{FF2B5EF4-FFF2-40B4-BE49-F238E27FC236}">
              <a16:creationId xmlns:a16="http://schemas.microsoft.com/office/drawing/2014/main" xmlns="" id="{00000000-0008-0000-0300-000026000000}"/>
            </a:ext>
          </a:extLst>
        </xdr:cNvPr>
        <xdr:cNvSpPr/>
      </xdr:nvSpPr>
      <xdr:spPr>
        <a:xfrm>
          <a:off x="63499" y="2473781"/>
          <a:ext cx="1287167" cy="3660322"/>
        </a:xfrm>
        <a:prstGeom prst="roundRect">
          <a:avLst>
            <a:gd name="adj" fmla="val 5839"/>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D" sz="1600" b="1" i="0">
            <a:solidFill>
              <a:srgbClr val="0070C0"/>
            </a:solidFill>
            <a:latin typeface="Calibri" panose="020F0502020204030204" pitchFamily="34" charset="0"/>
            <a:cs typeface="Calibri" panose="020F0502020204030204" pitchFamily="34" charset="0"/>
          </a:endParaRPr>
        </a:p>
      </xdr:txBody>
    </xdr:sp>
    <xdr:clientData/>
  </xdr:twoCellAnchor>
  <xdr:twoCellAnchor editAs="oneCell">
    <xdr:from>
      <xdr:col>0</xdr:col>
      <xdr:colOff>88900</xdr:colOff>
      <xdr:row>5</xdr:row>
      <xdr:rowOff>50800</xdr:rowOff>
    </xdr:from>
    <xdr:to>
      <xdr:col>1</xdr:col>
      <xdr:colOff>622300</xdr:colOff>
      <xdr:row>10</xdr:row>
      <xdr:rowOff>69850</xdr:rowOff>
    </xdr:to>
    <mc:AlternateContent xmlns:mc="http://schemas.openxmlformats.org/markup-compatibility/2006">
      <mc:Choice xmlns:a14="http://schemas.microsoft.com/office/drawing/2010/main" xmlns="" Requires="a14">
        <xdr:graphicFrame macro="">
          <xdr:nvGraphicFramePr>
            <xdr:cNvPr id="39" name="YEARLY 1">
              <a:extLst>
                <a:ext uri="{FF2B5EF4-FFF2-40B4-BE49-F238E27FC236}">
                  <a16:creationId xmlns:a16="http://schemas.microsoft.com/office/drawing/2014/main" id="{00000000-0008-0000-0300-000027000000}"/>
                </a:ext>
              </a:extLst>
            </xdr:cNvPr>
            <xdr:cNvGraphicFramePr/>
          </xdr:nvGraphicFramePr>
          <xdr:xfrm>
            <a:off x="0" y="0"/>
            <a:ext cx="0" cy="0"/>
          </xdr:xfrm>
          <a:graphic>
            <a:graphicData uri="http://schemas.microsoft.com/office/drawing/2010/slicer">
              <sle:slicer xmlns:sle="http://schemas.microsoft.com/office/drawing/2010/slicer" name="YEARLY 1"/>
            </a:graphicData>
          </a:graphic>
        </xdr:graphicFrame>
      </mc:Choice>
      <mc:Fallback>
        <xdr:sp macro="" textlink="">
          <xdr:nvSpPr>
            <xdr:cNvPr id="23" name="Rectangle 22"/>
            <xdr:cNvSpPr>
              <a:spLocks noTextEdit="1"/>
            </xdr:cNvSpPr>
          </xdr:nvSpPr>
          <xdr:spPr>
            <a:xfrm>
              <a:off x="88900" y="957943"/>
              <a:ext cx="1195614" cy="92619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68233</xdr:colOff>
      <xdr:row>13</xdr:row>
      <xdr:rowOff>166010</xdr:rowOff>
    </xdr:from>
    <xdr:to>
      <xdr:col>2</xdr:col>
      <xdr:colOff>4733</xdr:colOff>
      <xdr:row>33</xdr:row>
      <xdr:rowOff>98881</xdr:rowOff>
    </xdr:to>
    <mc:AlternateContent xmlns:mc="http://schemas.openxmlformats.org/markup-compatibility/2006">
      <mc:Choice xmlns:a14="http://schemas.microsoft.com/office/drawing/2010/main" xmlns="" Requires="a14">
        <xdr:graphicFrame macro="">
          <xdr:nvGraphicFramePr>
            <xdr:cNvPr id="40" name="MONTHLY 1">
              <a:extLst>
                <a:ext uri="{FF2B5EF4-FFF2-40B4-BE49-F238E27FC236}">
                  <a16:creationId xmlns:a16="http://schemas.microsoft.com/office/drawing/2014/main" id="{00000000-0008-0000-0300-000028000000}"/>
                </a:ext>
              </a:extLst>
            </xdr:cNvPr>
            <xdr:cNvGraphicFramePr/>
          </xdr:nvGraphicFramePr>
          <xdr:xfrm>
            <a:off x="0" y="0"/>
            <a:ext cx="0" cy="0"/>
          </xdr:xfrm>
          <a:graphic>
            <a:graphicData uri="http://schemas.microsoft.com/office/drawing/2010/slicer">
              <sle:slicer xmlns:sle="http://schemas.microsoft.com/office/drawing/2010/slicer" name="MONTHLY 1"/>
            </a:graphicData>
          </a:graphic>
        </xdr:graphicFrame>
      </mc:Choice>
      <mc:Fallback>
        <xdr:sp macro="" textlink="">
          <xdr:nvSpPr>
            <xdr:cNvPr id="25" name="Rectangle 24"/>
            <xdr:cNvSpPr>
              <a:spLocks noTextEdit="1"/>
            </xdr:cNvSpPr>
          </xdr:nvSpPr>
          <xdr:spPr>
            <a:xfrm>
              <a:off x="68233" y="2524581"/>
              <a:ext cx="1260929" cy="356144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355600</xdr:colOff>
      <xdr:row>9</xdr:row>
      <xdr:rowOff>124883</xdr:rowOff>
    </xdr:from>
    <xdr:ext cx="1789080" cy="259879"/>
    <xdr:sp macro="" textlink="">
      <xdr:nvSpPr>
        <xdr:cNvPr id="5" name="TextBox 22">
          <a:extLst>
            <a:ext uri="{FF2B5EF4-FFF2-40B4-BE49-F238E27FC236}">
              <a16:creationId xmlns:a16="http://schemas.microsoft.com/office/drawing/2014/main" xmlns="" id="{00000000-0008-0000-0300-000017000000}"/>
            </a:ext>
          </a:extLst>
        </xdr:cNvPr>
        <xdr:cNvSpPr txBox="1"/>
      </xdr:nvSpPr>
      <xdr:spPr>
        <a:xfrm>
          <a:off x="1676400" y="1725083"/>
          <a:ext cx="1789080"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id-ID" sz="1200" b="1">
              <a:solidFill>
                <a:schemeClr val="accent1"/>
              </a:solidFill>
              <a:latin typeface="+mn-lt"/>
              <a:ea typeface="+mn-ea"/>
              <a:cs typeface="+mn-cs"/>
            </a:rPr>
            <a:t>VOLUME by</a:t>
          </a:r>
          <a:r>
            <a:rPr lang="id-ID" sz="1200" b="1" baseline="0">
              <a:solidFill>
                <a:schemeClr val="accent1"/>
              </a:solidFill>
              <a:latin typeface="+mn-lt"/>
              <a:ea typeface="+mn-ea"/>
              <a:cs typeface="+mn-cs"/>
            </a:rPr>
            <a:t> SUBSIDIARY</a:t>
          </a:r>
          <a:endParaRPr lang="en-ID" sz="1200" b="1">
            <a:solidFill>
              <a:schemeClr val="accent1"/>
            </a:solidFill>
            <a:latin typeface="+mn-lt"/>
            <a:ea typeface="+mn-ea"/>
            <a:cs typeface="+mn-cs"/>
          </a:endParaRPr>
        </a:p>
      </xdr:txBody>
    </xdr:sp>
    <xdr:clientData/>
  </xdr:oneCellAnchor>
  <xdr:twoCellAnchor editAs="oneCell">
    <xdr:from>
      <xdr:col>5</xdr:col>
      <xdr:colOff>355601</xdr:colOff>
      <xdr:row>5</xdr:row>
      <xdr:rowOff>57831</xdr:rowOff>
    </xdr:from>
    <xdr:to>
      <xdr:col>5</xdr:col>
      <xdr:colOff>571601</xdr:colOff>
      <xdr:row>6</xdr:row>
      <xdr:rowOff>96031</xdr:rowOff>
    </xdr:to>
    <xdr:pic>
      <xdr:nvPicPr>
        <xdr:cNvPr id="8" name="Picture 7">
          <a:extLst>
            <a:ext uri="{FF2B5EF4-FFF2-40B4-BE49-F238E27FC236}">
              <a16:creationId xmlns:a16="http://schemas.microsoft.com/office/drawing/2014/main" xmlns="" id="{00000000-0008-0000-0300-000008000000}"/>
            </a:ext>
          </a:extLst>
        </xdr:cNvPr>
        <xdr:cNvPicPr>
          <a:picLocks noChangeAspect="1"/>
        </xdr:cNvPicPr>
      </xdr:nvPicPr>
      <xdr:blipFill>
        <a:blip xmlns:r="http://schemas.openxmlformats.org/officeDocument/2006/relationships" r:embed="rId3" cstate="print">
          <a:duotone>
            <a:schemeClr val="accent1">
              <a:shade val="45000"/>
              <a:satMod val="135000"/>
            </a:schemeClr>
            <a:prstClr val="white"/>
          </a:duotone>
          <a:extLst>
            <a:ext uri="{BEBA8EAE-BF5A-486C-A8C5-ECC9F3942E4B}">
              <a14:imgProps xmlns:a14="http://schemas.microsoft.com/office/drawing/2010/main" xmlns="">
                <a14:imgLayer r:embed="rId4">
                  <a14:imgEffect>
                    <a14:brightnessContrast bright="40000" contrast="-40000"/>
                  </a14:imgEffect>
                </a14:imgLayer>
              </a14:imgProps>
            </a:ext>
            <a:ext uri="{28A0092B-C50C-407E-A947-70E740481C1C}">
              <a14:useLocalDpi xmlns:a14="http://schemas.microsoft.com/office/drawing/2010/main" xmlns="" val="0"/>
            </a:ext>
          </a:extLst>
        </a:blip>
        <a:stretch>
          <a:fillRect/>
        </a:stretch>
      </xdr:blipFill>
      <xdr:spPr>
        <a:xfrm>
          <a:off x="3657601" y="946831"/>
          <a:ext cx="216000" cy="216000"/>
        </a:xfrm>
        <a:prstGeom prst="rect">
          <a:avLst/>
        </a:prstGeom>
        <a:noFill/>
      </xdr:spPr>
    </xdr:pic>
    <xdr:clientData/>
  </xdr:twoCellAnchor>
  <xdr:twoCellAnchor editAs="oneCell">
    <xdr:from>
      <xdr:col>2</xdr:col>
      <xdr:colOff>184150</xdr:colOff>
      <xdr:row>5</xdr:row>
      <xdr:rowOff>82550</xdr:rowOff>
    </xdr:from>
    <xdr:to>
      <xdr:col>2</xdr:col>
      <xdr:colOff>364150</xdr:colOff>
      <xdr:row>6</xdr:row>
      <xdr:rowOff>84750</xdr:rowOff>
    </xdr:to>
    <xdr:pic>
      <xdr:nvPicPr>
        <xdr:cNvPr id="13" name="Picture 12">
          <a:extLst>
            <a:ext uri="{FF2B5EF4-FFF2-40B4-BE49-F238E27FC236}">
              <a16:creationId xmlns:a16="http://schemas.microsoft.com/office/drawing/2014/main" xmlns="" id="{00000000-0008-0000-0300-00000D000000}"/>
            </a:ext>
          </a:extLst>
        </xdr:cNvPr>
        <xdr:cNvPicPr>
          <a:picLocks noChangeAspect="1"/>
        </xdr:cNvPicPr>
      </xdr:nvPicPr>
      <xdr:blipFill>
        <a:blip xmlns:r="http://schemas.openxmlformats.org/officeDocument/2006/relationships" r:embed="rId5" cstate="print">
          <a:duotone>
            <a:schemeClr val="accent1">
              <a:shade val="45000"/>
              <a:satMod val="135000"/>
            </a:schemeClr>
            <a:prstClr val="white"/>
          </a:duotone>
          <a:extLst>
            <a:ext uri="{28A0092B-C50C-407E-A947-70E740481C1C}">
              <a14:useLocalDpi xmlns:a14="http://schemas.microsoft.com/office/drawing/2010/main" xmlns="" val="0"/>
            </a:ext>
          </a:extLst>
        </a:blip>
        <a:stretch>
          <a:fillRect/>
        </a:stretch>
      </xdr:blipFill>
      <xdr:spPr>
        <a:xfrm>
          <a:off x="1504950" y="971550"/>
          <a:ext cx="180000" cy="180000"/>
        </a:xfrm>
        <a:prstGeom prst="rect">
          <a:avLst/>
        </a:prstGeom>
        <a:noFill/>
      </xdr:spPr>
    </xdr:pic>
    <xdr:clientData/>
  </xdr:twoCellAnchor>
  <xdr:twoCellAnchor editAs="oneCell">
    <xdr:from>
      <xdr:col>11</xdr:col>
      <xdr:colOff>190500</xdr:colOff>
      <xdr:row>5</xdr:row>
      <xdr:rowOff>57150</xdr:rowOff>
    </xdr:from>
    <xdr:to>
      <xdr:col>11</xdr:col>
      <xdr:colOff>406500</xdr:colOff>
      <xdr:row>6</xdr:row>
      <xdr:rowOff>95350</xdr:rowOff>
    </xdr:to>
    <xdr:pic>
      <xdr:nvPicPr>
        <xdr:cNvPr id="15" name="Picture 14">
          <a:extLst>
            <a:ext uri="{FF2B5EF4-FFF2-40B4-BE49-F238E27FC236}">
              <a16:creationId xmlns:a16="http://schemas.microsoft.com/office/drawing/2014/main" xmlns="" id="{00000000-0008-0000-0300-00000F000000}"/>
            </a:ext>
          </a:extLst>
        </xdr:cNvPr>
        <xdr:cNvPicPr>
          <a:picLocks noChangeAspect="1"/>
        </xdr:cNvPicPr>
      </xdr:nvPicPr>
      <xdr:blipFill>
        <a:blip xmlns:r="http://schemas.openxmlformats.org/officeDocument/2006/relationships" r:embed="rId6" cstate="print">
          <a:duotone>
            <a:schemeClr val="accent1">
              <a:shade val="45000"/>
              <a:satMod val="135000"/>
            </a:schemeClr>
            <a:prstClr val="white"/>
          </a:duotone>
          <a:extLst>
            <a:ext uri="{BEBA8EAE-BF5A-486C-A8C5-ECC9F3942E4B}">
              <a14:imgProps xmlns:a14="http://schemas.microsoft.com/office/drawing/2010/main" xmlns="">
                <a14:imgLayer r:embed="rId7">
                  <a14:imgEffect>
                    <a14:brightnessContrast bright="-40000" contrast="-20000"/>
                  </a14:imgEffect>
                </a14:imgLayer>
              </a14:imgProps>
            </a:ext>
            <a:ext uri="{28A0092B-C50C-407E-A947-70E740481C1C}">
              <a14:useLocalDpi xmlns:a14="http://schemas.microsoft.com/office/drawing/2010/main" xmlns="" val="0"/>
            </a:ext>
          </a:extLst>
        </a:blip>
        <a:stretch>
          <a:fillRect/>
        </a:stretch>
      </xdr:blipFill>
      <xdr:spPr>
        <a:xfrm>
          <a:off x="7454900" y="946150"/>
          <a:ext cx="216000" cy="216000"/>
        </a:xfrm>
        <a:prstGeom prst="rect">
          <a:avLst/>
        </a:prstGeom>
        <a:noFill/>
      </xdr:spPr>
    </xdr:pic>
    <xdr:clientData/>
  </xdr:twoCellAnchor>
  <xdr:twoCellAnchor editAs="oneCell">
    <xdr:from>
      <xdr:col>2</xdr:col>
      <xdr:colOff>228600</xdr:colOff>
      <xdr:row>9</xdr:row>
      <xdr:rowOff>158750</xdr:rowOff>
    </xdr:from>
    <xdr:to>
      <xdr:col>2</xdr:col>
      <xdr:colOff>408600</xdr:colOff>
      <xdr:row>10</xdr:row>
      <xdr:rowOff>160950</xdr:rowOff>
    </xdr:to>
    <xdr:pic>
      <xdr:nvPicPr>
        <xdr:cNvPr id="33" name="Picture 32">
          <a:extLst>
            <a:ext uri="{FF2B5EF4-FFF2-40B4-BE49-F238E27FC236}">
              <a16:creationId xmlns:a16="http://schemas.microsoft.com/office/drawing/2014/main" xmlns="" id="{00000000-0008-0000-0300-000021000000}"/>
            </a:ext>
          </a:extLst>
        </xdr:cNvPr>
        <xdr:cNvPicPr>
          <a:picLocks noChangeAspect="1"/>
        </xdr:cNvPicPr>
      </xdr:nvPicPr>
      <xdr:blipFill>
        <a:blip xmlns:r="http://schemas.openxmlformats.org/officeDocument/2006/relationships" r:embed="rId5" cstate="print">
          <a:duotone>
            <a:schemeClr val="accent1">
              <a:shade val="45000"/>
              <a:satMod val="135000"/>
            </a:schemeClr>
            <a:prstClr val="white"/>
          </a:duotone>
          <a:extLst>
            <a:ext uri="{28A0092B-C50C-407E-A947-70E740481C1C}">
              <a14:useLocalDpi xmlns:a14="http://schemas.microsoft.com/office/drawing/2010/main" xmlns="" val="0"/>
            </a:ext>
          </a:extLst>
        </a:blip>
        <a:stretch>
          <a:fillRect/>
        </a:stretch>
      </xdr:blipFill>
      <xdr:spPr>
        <a:xfrm>
          <a:off x="1549400" y="1758950"/>
          <a:ext cx="180000" cy="180000"/>
        </a:xfrm>
        <a:prstGeom prst="rect">
          <a:avLst/>
        </a:prstGeom>
        <a:noFill/>
      </xdr:spPr>
    </xdr:pic>
    <xdr:clientData/>
  </xdr:twoCellAnchor>
  <xdr:twoCellAnchor>
    <xdr:from>
      <xdr:col>2</xdr:col>
      <xdr:colOff>362861</xdr:colOff>
      <xdr:row>11</xdr:row>
      <xdr:rowOff>1</xdr:rowOff>
    </xdr:from>
    <xdr:to>
      <xdr:col>8</xdr:col>
      <xdr:colOff>308429</xdr:colOff>
      <xdr:row>26</xdr:row>
      <xdr:rowOff>21772</xdr:rowOff>
    </xdr:to>
    <xdr:graphicFrame macro="">
      <xdr:nvGraphicFramePr>
        <xdr:cNvPr id="27" name="Chart 26">
          <a:extLst>
            <a:ext uri="{FF2B5EF4-FFF2-40B4-BE49-F238E27FC236}">
              <a16:creationId xmlns:a16="http://schemas.microsoft.com/office/drawing/2014/main" xmlns="" id="{00000000-0008-0000-03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235858</xdr:colOff>
      <xdr:row>11</xdr:row>
      <xdr:rowOff>95245</xdr:rowOff>
    </xdr:from>
    <xdr:to>
      <xdr:col>10</xdr:col>
      <xdr:colOff>171429</xdr:colOff>
      <xdr:row>18</xdr:row>
      <xdr:rowOff>85245</xdr:rowOff>
    </xdr:to>
    <xdr:graphicFrame macro="">
      <xdr:nvGraphicFramePr>
        <xdr:cNvPr id="28" name="Chart 27">
          <a:extLst>
            <a:ext uri="{FF2B5EF4-FFF2-40B4-BE49-F238E27FC236}">
              <a16:creationId xmlns:a16="http://schemas.microsoft.com/office/drawing/2014/main" xmlns="" id="{00000000-0008-0000-03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199571</xdr:colOff>
      <xdr:row>11</xdr:row>
      <xdr:rowOff>95245</xdr:rowOff>
    </xdr:from>
    <xdr:to>
      <xdr:col>12</xdr:col>
      <xdr:colOff>135143</xdr:colOff>
      <xdr:row>18</xdr:row>
      <xdr:rowOff>85245</xdr:rowOff>
    </xdr:to>
    <xdr:graphicFrame macro="">
      <xdr:nvGraphicFramePr>
        <xdr:cNvPr id="35" name="Chart 34">
          <a:extLst>
            <a:ext uri="{FF2B5EF4-FFF2-40B4-BE49-F238E27FC236}">
              <a16:creationId xmlns:a16="http://schemas.microsoft.com/office/drawing/2014/main" xmlns="" id="{00000000-0008-0000-03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272144</xdr:colOff>
      <xdr:row>18</xdr:row>
      <xdr:rowOff>175079</xdr:rowOff>
    </xdr:from>
    <xdr:to>
      <xdr:col>10</xdr:col>
      <xdr:colOff>207715</xdr:colOff>
      <xdr:row>25</xdr:row>
      <xdr:rowOff>165079</xdr:rowOff>
    </xdr:to>
    <xdr:graphicFrame macro="">
      <xdr:nvGraphicFramePr>
        <xdr:cNvPr id="37" name="Chart 36">
          <a:extLst>
            <a:ext uri="{FF2B5EF4-FFF2-40B4-BE49-F238E27FC236}">
              <a16:creationId xmlns:a16="http://schemas.microsoft.com/office/drawing/2014/main" xmlns="" id="{00000000-0008-0000-03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190500</xdr:colOff>
      <xdr:row>19</xdr:row>
      <xdr:rowOff>9073</xdr:rowOff>
    </xdr:from>
    <xdr:to>
      <xdr:col>12</xdr:col>
      <xdr:colOff>126072</xdr:colOff>
      <xdr:row>25</xdr:row>
      <xdr:rowOff>180502</xdr:rowOff>
    </xdr:to>
    <xdr:graphicFrame macro="">
      <xdr:nvGraphicFramePr>
        <xdr:cNvPr id="41" name="Chart 40">
          <a:extLst>
            <a:ext uri="{FF2B5EF4-FFF2-40B4-BE49-F238E27FC236}">
              <a16:creationId xmlns:a16="http://schemas.microsoft.com/office/drawing/2014/main" xmlns="" id="{00000000-0008-0000-0300-00002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8</xdr:col>
      <xdr:colOff>625929</xdr:colOff>
      <xdr:row>17</xdr:row>
      <xdr:rowOff>166002</xdr:rowOff>
    </xdr:from>
    <xdr:ext cx="461473" cy="259879"/>
    <xdr:sp macro="" textlink="">
      <xdr:nvSpPr>
        <xdr:cNvPr id="43" name="TextBox 42">
          <a:extLst>
            <a:ext uri="{FF2B5EF4-FFF2-40B4-BE49-F238E27FC236}">
              <a16:creationId xmlns:a16="http://schemas.microsoft.com/office/drawing/2014/main" xmlns="" id="{00000000-0008-0000-0300-00002B000000}"/>
            </a:ext>
          </a:extLst>
        </xdr:cNvPr>
        <xdr:cNvSpPr txBox="1"/>
      </xdr:nvSpPr>
      <xdr:spPr>
        <a:xfrm>
          <a:off x="5923643" y="3250288"/>
          <a:ext cx="461473"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id-ID" sz="1200" b="1">
              <a:solidFill>
                <a:sysClr val="windowText" lastClr="000000"/>
              </a:solidFill>
              <a:latin typeface="+mn-lt"/>
              <a:ea typeface="+mn-ea"/>
              <a:cs typeface="+mn-cs"/>
            </a:rPr>
            <a:t>KBK</a:t>
          </a:r>
          <a:endParaRPr lang="en-ID" sz="1200" b="1">
            <a:solidFill>
              <a:sysClr val="windowText" lastClr="000000"/>
            </a:solidFill>
            <a:latin typeface="+mn-lt"/>
            <a:ea typeface="+mn-ea"/>
            <a:cs typeface="+mn-cs"/>
          </a:endParaRPr>
        </a:p>
      </xdr:txBody>
    </xdr:sp>
    <xdr:clientData/>
  </xdr:oneCellAnchor>
  <xdr:oneCellAnchor>
    <xdr:from>
      <xdr:col>10</xdr:col>
      <xdr:colOff>596900</xdr:colOff>
      <xdr:row>17</xdr:row>
      <xdr:rowOff>170538</xdr:rowOff>
    </xdr:from>
    <xdr:ext cx="527388" cy="259879"/>
    <xdr:sp macro="" textlink="">
      <xdr:nvSpPr>
        <xdr:cNvPr id="44" name="TextBox 43">
          <a:extLst>
            <a:ext uri="{FF2B5EF4-FFF2-40B4-BE49-F238E27FC236}">
              <a16:creationId xmlns:a16="http://schemas.microsoft.com/office/drawing/2014/main" xmlns="" id="{00000000-0008-0000-0300-00002C000000}"/>
            </a:ext>
          </a:extLst>
        </xdr:cNvPr>
        <xdr:cNvSpPr txBox="1"/>
      </xdr:nvSpPr>
      <xdr:spPr>
        <a:xfrm>
          <a:off x="7219043" y="3254824"/>
          <a:ext cx="527388"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id-ID" sz="1200" b="1">
              <a:solidFill>
                <a:sysClr val="windowText" lastClr="000000"/>
              </a:solidFill>
              <a:latin typeface="+mn-lt"/>
              <a:ea typeface="+mn-ea"/>
              <a:cs typeface="+mn-cs"/>
            </a:rPr>
            <a:t>KPdP</a:t>
          </a:r>
          <a:endParaRPr lang="en-ID" sz="1200" b="1">
            <a:solidFill>
              <a:sysClr val="windowText" lastClr="000000"/>
            </a:solidFill>
            <a:latin typeface="+mn-lt"/>
            <a:ea typeface="+mn-ea"/>
            <a:cs typeface="+mn-cs"/>
          </a:endParaRPr>
        </a:p>
      </xdr:txBody>
    </xdr:sp>
    <xdr:clientData/>
  </xdr:oneCellAnchor>
  <xdr:oneCellAnchor>
    <xdr:from>
      <xdr:col>9</xdr:col>
      <xdr:colOff>23585</xdr:colOff>
      <xdr:row>25</xdr:row>
      <xdr:rowOff>5443</xdr:rowOff>
    </xdr:from>
    <xdr:ext cx="428131" cy="259879"/>
    <xdr:sp macro="" textlink="">
      <xdr:nvSpPr>
        <xdr:cNvPr id="45" name="TextBox 44">
          <a:extLst>
            <a:ext uri="{FF2B5EF4-FFF2-40B4-BE49-F238E27FC236}">
              <a16:creationId xmlns:a16="http://schemas.microsoft.com/office/drawing/2014/main" xmlns="" id="{00000000-0008-0000-0300-00002D000000}"/>
            </a:ext>
          </a:extLst>
        </xdr:cNvPr>
        <xdr:cNvSpPr txBox="1"/>
      </xdr:nvSpPr>
      <xdr:spPr>
        <a:xfrm>
          <a:off x="5983514" y="4541157"/>
          <a:ext cx="428131"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id-ID" sz="1200" b="1">
              <a:solidFill>
                <a:sysClr val="windowText" lastClr="000000"/>
              </a:solidFill>
              <a:latin typeface="+mn-lt"/>
              <a:ea typeface="+mn-ea"/>
              <a:cs typeface="+mn-cs"/>
            </a:rPr>
            <a:t>KNI</a:t>
          </a:r>
          <a:endParaRPr lang="en-ID" sz="1200" b="1">
            <a:solidFill>
              <a:sysClr val="windowText" lastClr="000000"/>
            </a:solidFill>
            <a:latin typeface="+mn-lt"/>
            <a:ea typeface="+mn-ea"/>
            <a:cs typeface="+mn-cs"/>
          </a:endParaRPr>
        </a:p>
      </xdr:txBody>
    </xdr:sp>
    <xdr:clientData/>
  </xdr:oneCellAnchor>
  <xdr:oneCellAnchor>
    <xdr:from>
      <xdr:col>8</xdr:col>
      <xdr:colOff>373037</xdr:colOff>
      <xdr:row>13</xdr:row>
      <xdr:rowOff>91636</xdr:rowOff>
    </xdr:from>
    <xdr:ext cx="990000" cy="537564"/>
    <xdr:sp macro="" textlink="'Working Sheet'!AA11">
      <xdr:nvSpPr>
        <xdr:cNvPr id="46" name="TextBox 45">
          <a:extLst>
            <a:ext uri="{FF2B5EF4-FFF2-40B4-BE49-F238E27FC236}">
              <a16:creationId xmlns:a16="http://schemas.microsoft.com/office/drawing/2014/main" xmlns="" id="{00000000-0008-0000-0300-00002E000000}"/>
            </a:ext>
          </a:extLst>
        </xdr:cNvPr>
        <xdr:cNvSpPr txBox="1"/>
      </xdr:nvSpPr>
      <xdr:spPr>
        <a:xfrm>
          <a:off x="5670751" y="2450207"/>
          <a:ext cx="990000" cy="537564"/>
        </a:xfrm>
        <a:prstGeom prst="ellipse">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EAD46AE8-6470-41EB-B052-E4948616F049}" type="TxLink">
            <a:rPr lang="en-US" sz="1700" b="1" i="0" u="none" strike="noStrike">
              <a:solidFill>
                <a:srgbClr val="0000FF"/>
              </a:solidFill>
              <a:latin typeface="Segoe UI Emoji" panose="020B0502040204020203" pitchFamily="34" charset="0"/>
              <a:ea typeface="Segoe UI Emoji" panose="020B0502040204020203" pitchFamily="34" charset="0"/>
              <a:cs typeface="+mn-cs"/>
            </a:rPr>
            <a:pPr marL="0" indent="0" algn="ctr"/>
            <a:t>108%</a:t>
          </a:fld>
          <a:endParaRPr lang="en-ID" sz="1700" b="1">
            <a:solidFill>
              <a:srgbClr val="0000FF"/>
            </a:solidFill>
            <a:latin typeface="Segoe UI Emoji" panose="020B0502040204020203" pitchFamily="34" charset="0"/>
            <a:ea typeface="Segoe UI Emoji" panose="020B0502040204020203" pitchFamily="34" charset="0"/>
            <a:cs typeface="+mn-cs"/>
          </a:endParaRPr>
        </a:p>
      </xdr:txBody>
    </xdr:sp>
    <xdr:clientData/>
  </xdr:oneCellAnchor>
  <xdr:oneCellAnchor>
    <xdr:from>
      <xdr:col>10</xdr:col>
      <xdr:colOff>334940</xdr:colOff>
      <xdr:row>13</xdr:row>
      <xdr:rowOff>83934</xdr:rowOff>
    </xdr:from>
    <xdr:ext cx="990000" cy="537564"/>
    <xdr:sp macro="" textlink="'Working Sheet'!AA13">
      <xdr:nvSpPr>
        <xdr:cNvPr id="47" name="TextBox 46">
          <a:extLst>
            <a:ext uri="{FF2B5EF4-FFF2-40B4-BE49-F238E27FC236}">
              <a16:creationId xmlns:a16="http://schemas.microsoft.com/office/drawing/2014/main" xmlns="" id="{00000000-0008-0000-0300-00002F000000}"/>
            </a:ext>
          </a:extLst>
        </xdr:cNvPr>
        <xdr:cNvSpPr txBox="1"/>
      </xdr:nvSpPr>
      <xdr:spPr>
        <a:xfrm>
          <a:off x="6957083" y="2442505"/>
          <a:ext cx="990000" cy="537564"/>
        </a:xfrm>
        <a:prstGeom prst="flowChartConnector">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C812403B-04C4-4C6A-870F-3B6FBD0F5C61}" type="TxLink">
            <a:rPr lang="en-US" sz="1700" b="1" i="0" u="none" strike="noStrike">
              <a:solidFill>
                <a:srgbClr val="4169E1"/>
              </a:solidFill>
              <a:latin typeface="Segoe UI Emoji" panose="020B0502040204020203" pitchFamily="34" charset="0"/>
              <a:ea typeface="Segoe UI Emoji" panose="020B0502040204020203" pitchFamily="34" charset="0"/>
              <a:cs typeface="+mn-cs"/>
            </a:rPr>
            <a:pPr marL="0" indent="0" algn="ctr"/>
            <a:t>82%</a:t>
          </a:fld>
          <a:endParaRPr lang="en-ID" sz="1700" b="1" i="0" u="none" strike="noStrike">
            <a:solidFill>
              <a:srgbClr val="4169E1"/>
            </a:solidFill>
            <a:latin typeface="Segoe UI Emoji" panose="020B0502040204020203" pitchFamily="34" charset="0"/>
            <a:ea typeface="Segoe UI Emoji" panose="020B0502040204020203" pitchFamily="34" charset="0"/>
            <a:cs typeface="+mn-cs"/>
          </a:endParaRPr>
        </a:p>
      </xdr:txBody>
    </xdr:sp>
    <xdr:clientData/>
  </xdr:oneCellAnchor>
  <xdr:oneCellAnchor>
    <xdr:from>
      <xdr:col>8</xdr:col>
      <xdr:colOff>405690</xdr:colOff>
      <xdr:row>20</xdr:row>
      <xdr:rowOff>163766</xdr:rowOff>
    </xdr:from>
    <xdr:ext cx="990000" cy="537564"/>
    <xdr:sp macro="" textlink="'Working Sheet'!AA12">
      <xdr:nvSpPr>
        <xdr:cNvPr id="48" name="TextBox 47">
          <a:extLst>
            <a:ext uri="{FF2B5EF4-FFF2-40B4-BE49-F238E27FC236}">
              <a16:creationId xmlns:a16="http://schemas.microsoft.com/office/drawing/2014/main" xmlns="" id="{00000000-0008-0000-0300-000030000000}"/>
            </a:ext>
          </a:extLst>
        </xdr:cNvPr>
        <xdr:cNvSpPr txBox="1"/>
      </xdr:nvSpPr>
      <xdr:spPr>
        <a:xfrm>
          <a:off x="5703404" y="3792337"/>
          <a:ext cx="990000" cy="537564"/>
        </a:xfrm>
        <a:prstGeom prst="flowChartConnector">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F38326DC-0B13-4223-8825-7E9F92B1596D}" type="TxLink">
            <a:rPr lang="en-US" sz="1700" b="1" i="0" u="none" strike="noStrike">
              <a:solidFill>
                <a:srgbClr val="ADD8E6"/>
              </a:solidFill>
              <a:latin typeface="Segoe UI Emoji" panose="020B0502040204020203" pitchFamily="34" charset="0"/>
              <a:ea typeface="Segoe UI Emoji" panose="020B0502040204020203" pitchFamily="34" charset="0"/>
              <a:cs typeface="+mn-cs"/>
            </a:rPr>
            <a:pPr marL="0" indent="0" algn="ctr"/>
            <a:t>153%</a:t>
          </a:fld>
          <a:endParaRPr lang="en-ID" sz="1700" b="1" i="0" u="none" strike="noStrike">
            <a:solidFill>
              <a:srgbClr val="ADD8E6"/>
            </a:solidFill>
            <a:latin typeface="Segoe UI Emoji" panose="020B0502040204020203" pitchFamily="34" charset="0"/>
            <a:ea typeface="Segoe UI Emoji" panose="020B0502040204020203" pitchFamily="34" charset="0"/>
            <a:cs typeface="+mn-cs"/>
          </a:endParaRPr>
        </a:p>
      </xdr:txBody>
    </xdr:sp>
    <xdr:clientData/>
  </xdr:oneCellAnchor>
  <xdr:oneCellAnchor>
    <xdr:from>
      <xdr:col>10</xdr:col>
      <xdr:colOff>335646</xdr:colOff>
      <xdr:row>20</xdr:row>
      <xdr:rowOff>167057</xdr:rowOff>
    </xdr:from>
    <xdr:ext cx="990000" cy="537564"/>
    <xdr:sp macro="" textlink="'Working Sheet'!AA14">
      <xdr:nvSpPr>
        <xdr:cNvPr id="49" name="TextBox 48">
          <a:extLst>
            <a:ext uri="{FF2B5EF4-FFF2-40B4-BE49-F238E27FC236}">
              <a16:creationId xmlns:a16="http://schemas.microsoft.com/office/drawing/2014/main" xmlns="" id="{00000000-0008-0000-0300-000031000000}"/>
            </a:ext>
          </a:extLst>
        </xdr:cNvPr>
        <xdr:cNvSpPr txBox="1"/>
      </xdr:nvSpPr>
      <xdr:spPr>
        <a:xfrm>
          <a:off x="6957789" y="3795628"/>
          <a:ext cx="990000" cy="537564"/>
        </a:xfrm>
        <a:prstGeom prst="flowChartConnector">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fld id="{9297E259-5203-4ED4-A296-9AC5920C158C}" type="TxLink">
            <a:rPr lang="en-US" sz="1700" b="1" i="0" u="none" strike="noStrike">
              <a:solidFill>
                <a:srgbClr val="00BFFF"/>
              </a:solidFill>
              <a:latin typeface="Segoe UI Emoji" panose="020B0502040204020203" pitchFamily="34" charset="0"/>
              <a:ea typeface="Segoe UI Emoji" panose="020B0502040204020203" pitchFamily="34" charset="0"/>
              <a:cs typeface="+mn-cs"/>
            </a:rPr>
            <a:pPr marL="0" indent="0" algn="ctr"/>
            <a:t>165%</a:t>
          </a:fld>
          <a:endParaRPr lang="en-ID" sz="1700" b="1" i="0" u="none" strike="noStrike">
            <a:solidFill>
              <a:srgbClr val="00BFFF"/>
            </a:solidFill>
            <a:latin typeface="Segoe UI Emoji" panose="020B0502040204020203" pitchFamily="34" charset="0"/>
            <a:ea typeface="Segoe UI Emoji" panose="020B0502040204020203" pitchFamily="34" charset="0"/>
            <a:cs typeface="+mn-cs"/>
          </a:endParaRPr>
        </a:p>
      </xdr:txBody>
    </xdr:sp>
    <xdr:clientData/>
  </xdr:oneCellAnchor>
  <xdr:oneCellAnchor>
    <xdr:from>
      <xdr:col>11</xdr:col>
      <xdr:colOff>3628</xdr:colOff>
      <xdr:row>25</xdr:row>
      <xdr:rowOff>21772</xdr:rowOff>
    </xdr:from>
    <xdr:ext cx="403957" cy="259879"/>
    <xdr:sp macro="" textlink="">
      <xdr:nvSpPr>
        <xdr:cNvPr id="50" name="TextBox 49">
          <a:extLst>
            <a:ext uri="{FF2B5EF4-FFF2-40B4-BE49-F238E27FC236}">
              <a16:creationId xmlns:a16="http://schemas.microsoft.com/office/drawing/2014/main" xmlns="" id="{00000000-0008-0000-0300-000032000000}"/>
            </a:ext>
          </a:extLst>
        </xdr:cNvPr>
        <xdr:cNvSpPr txBox="1"/>
      </xdr:nvSpPr>
      <xdr:spPr>
        <a:xfrm>
          <a:off x="7287985" y="4557486"/>
          <a:ext cx="403957"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id-ID" sz="1200" b="1">
              <a:solidFill>
                <a:sysClr val="windowText" lastClr="000000"/>
              </a:solidFill>
              <a:latin typeface="+mn-lt"/>
              <a:ea typeface="+mn-ea"/>
              <a:cs typeface="+mn-cs"/>
            </a:rPr>
            <a:t>KPI</a:t>
          </a:r>
          <a:endParaRPr lang="en-ID" sz="1200" b="1">
            <a:solidFill>
              <a:sysClr val="windowText" lastClr="000000"/>
            </a:solidFill>
            <a:latin typeface="+mn-lt"/>
            <a:ea typeface="+mn-ea"/>
            <a:cs typeface="+mn-cs"/>
          </a:endParaRPr>
        </a:p>
      </xdr:txBody>
    </xdr:sp>
    <xdr:clientData/>
  </xdr:oneCellAnchor>
  <xdr:oneCellAnchor>
    <xdr:from>
      <xdr:col>8</xdr:col>
      <xdr:colOff>560611</xdr:colOff>
      <xdr:row>9</xdr:row>
      <xdr:rowOff>164798</xdr:rowOff>
    </xdr:from>
    <xdr:ext cx="1318823" cy="259879"/>
    <xdr:sp macro="" textlink="">
      <xdr:nvSpPr>
        <xdr:cNvPr id="51" name="TextBox 50">
          <a:extLst>
            <a:ext uri="{FF2B5EF4-FFF2-40B4-BE49-F238E27FC236}">
              <a16:creationId xmlns:a16="http://schemas.microsoft.com/office/drawing/2014/main" xmlns="" id="{00000000-0008-0000-0300-000033000000}"/>
            </a:ext>
          </a:extLst>
        </xdr:cNvPr>
        <xdr:cNvSpPr txBox="1"/>
      </xdr:nvSpPr>
      <xdr:spPr>
        <a:xfrm>
          <a:off x="5843811" y="1764998"/>
          <a:ext cx="1318823"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id-ID" sz="1200" b="1">
              <a:solidFill>
                <a:schemeClr val="accent1"/>
              </a:solidFill>
              <a:latin typeface="+mn-lt"/>
              <a:ea typeface="+mn-ea"/>
              <a:cs typeface="+mn-cs"/>
            </a:rPr>
            <a:t>TARGET VOLUME</a:t>
          </a:r>
          <a:endParaRPr lang="en-ID" sz="1200" b="1">
            <a:solidFill>
              <a:schemeClr val="accent1"/>
            </a:solidFill>
            <a:latin typeface="+mn-lt"/>
            <a:ea typeface="+mn-ea"/>
            <a:cs typeface="+mn-cs"/>
          </a:endParaRPr>
        </a:p>
      </xdr:txBody>
    </xdr:sp>
    <xdr:clientData/>
  </xdr:oneCellAnchor>
  <xdr:twoCellAnchor editAs="oneCell">
    <xdr:from>
      <xdr:col>8</xdr:col>
      <xdr:colOff>353784</xdr:colOff>
      <xdr:row>9</xdr:row>
      <xdr:rowOff>136074</xdr:rowOff>
    </xdr:from>
    <xdr:to>
      <xdr:col>8</xdr:col>
      <xdr:colOff>662212</xdr:colOff>
      <xdr:row>11</xdr:row>
      <xdr:rowOff>81645</xdr:rowOff>
    </xdr:to>
    <xdr:pic>
      <xdr:nvPicPr>
        <xdr:cNvPr id="7" name="Graphic 6" descr="Bullseye">
          <a:extLst>
            <a:ext uri="{FF2B5EF4-FFF2-40B4-BE49-F238E27FC236}">
              <a16:creationId xmlns:a16="http://schemas.microsoft.com/office/drawing/2014/main" xmlns="" id="{00000000-0008-0000-0300-000007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xmlns="" val="0"/>
            </a:ext>
            <a:ext uri="{96DAC541-7B7A-43D3-8B79-37D633B846F1}">
              <asvg:svgBlip xmlns:asvg="http://schemas.microsoft.com/office/drawing/2016/SVG/main" xmlns="" r:embed="rId14"/>
            </a:ext>
          </a:extLst>
        </a:blip>
        <a:stretch>
          <a:fillRect/>
        </a:stretch>
      </xdr:blipFill>
      <xdr:spPr>
        <a:xfrm>
          <a:off x="5651498" y="1768931"/>
          <a:ext cx="308428" cy="308428"/>
        </a:xfrm>
        <a:prstGeom prst="rect">
          <a:avLst/>
        </a:prstGeom>
      </xdr:spPr>
    </xdr:pic>
    <xdr:clientData/>
  </xdr:twoCellAnchor>
  <xdr:twoCellAnchor>
    <xdr:from>
      <xdr:col>12</xdr:col>
      <xdr:colOff>345619</xdr:colOff>
      <xdr:row>9</xdr:row>
      <xdr:rowOff>104624</xdr:rowOff>
    </xdr:from>
    <xdr:to>
      <xdr:col>16</xdr:col>
      <xdr:colOff>504761</xdr:colOff>
      <xdr:row>21</xdr:row>
      <xdr:rowOff>163286</xdr:rowOff>
    </xdr:to>
    <xdr:sp macro="" textlink="">
      <xdr:nvSpPr>
        <xdr:cNvPr id="52" name="Rectangle: Rounded Corners 51">
          <a:extLst>
            <a:ext uri="{FF2B5EF4-FFF2-40B4-BE49-F238E27FC236}">
              <a16:creationId xmlns:a16="http://schemas.microsoft.com/office/drawing/2014/main" xmlns="" id="{00000000-0008-0000-0300-000034000000}"/>
            </a:ext>
          </a:extLst>
        </xdr:cNvPr>
        <xdr:cNvSpPr/>
      </xdr:nvSpPr>
      <xdr:spPr>
        <a:xfrm>
          <a:off x="8292190" y="1737481"/>
          <a:ext cx="2808000" cy="2235805"/>
        </a:xfrm>
        <a:prstGeom prst="roundRect">
          <a:avLst>
            <a:gd name="adj" fmla="val 449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426357</xdr:colOff>
      <xdr:row>10</xdr:row>
      <xdr:rowOff>45370</xdr:rowOff>
    </xdr:from>
    <xdr:to>
      <xdr:col>14</xdr:col>
      <xdr:colOff>361928</xdr:colOff>
      <xdr:row>21</xdr:row>
      <xdr:rowOff>90714</xdr:rowOff>
    </xdr:to>
    <xdr:grpSp>
      <xdr:nvGrpSpPr>
        <xdr:cNvPr id="34" name="Group 33">
          <a:extLst>
            <a:ext uri="{FF2B5EF4-FFF2-40B4-BE49-F238E27FC236}">
              <a16:creationId xmlns:a16="http://schemas.microsoft.com/office/drawing/2014/main" xmlns="" id="{00000000-0008-0000-0300-000022000000}"/>
            </a:ext>
          </a:extLst>
        </xdr:cNvPr>
        <xdr:cNvGrpSpPr/>
      </xdr:nvGrpSpPr>
      <xdr:grpSpPr>
        <a:xfrm>
          <a:off x="8264071" y="1814299"/>
          <a:ext cx="1241857" cy="1991165"/>
          <a:chOff x="8372928" y="1859656"/>
          <a:chExt cx="1260000" cy="2041058"/>
        </a:xfrm>
      </xdr:grpSpPr>
      <xdr:grpSp>
        <xdr:nvGrpSpPr>
          <xdr:cNvPr id="19" name="Group 18">
            <a:extLst>
              <a:ext uri="{FF2B5EF4-FFF2-40B4-BE49-F238E27FC236}">
                <a16:creationId xmlns:a16="http://schemas.microsoft.com/office/drawing/2014/main" xmlns="" id="{00000000-0008-0000-0300-000013000000}"/>
              </a:ext>
            </a:extLst>
          </xdr:cNvPr>
          <xdr:cNvGrpSpPr/>
        </xdr:nvGrpSpPr>
        <xdr:grpSpPr>
          <a:xfrm>
            <a:off x="8372928" y="1859656"/>
            <a:ext cx="1260000" cy="2041058"/>
            <a:chOff x="8372928" y="1859656"/>
            <a:chExt cx="1260000" cy="1687285"/>
          </a:xfrm>
        </xdr:grpSpPr>
        <xdr:grpSp>
          <xdr:nvGrpSpPr>
            <xdr:cNvPr id="14" name="Group 13">
              <a:extLst>
                <a:ext uri="{FF2B5EF4-FFF2-40B4-BE49-F238E27FC236}">
                  <a16:creationId xmlns:a16="http://schemas.microsoft.com/office/drawing/2014/main" xmlns="" id="{00000000-0008-0000-0300-00000E000000}"/>
                </a:ext>
              </a:extLst>
            </xdr:cNvPr>
            <xdr:cNvGrpSpPr/>
          </xdr:nvGrpSpPr>
          <xdr:grpSpPr>
            <a:xfrm>
              <a:off x="8372928" y="1859656"/>
              <a:ext cx="1260000" cy="1687285"/>
              <a:chOff x="8372928" y="2222500"/>
              <a:chExt cx="1260000" cy="1687285"/>
            </a:xfrm>
            <a:solidFill>
              <a:schemeClr val="accent5">
                <a:lumMod val="60000"/>
                <a:lumOff val="40000"/>
              </a:schemeClr>
            </a:solidFill>
          </xdr:grpSpPr>
          <xdr:sp macro="" textlink="">
            <xdr:nvSpPr>
              <xdr:cNvPr id="9" name="Trapezoid 8">
                <a:extLst>
                  <a:ext uri="{FF2B5EF4-FFF2-40B4-BE49-F238E27FC236}">
                    <a16:creationId xmlns:a16="http://schemas.microsoft.com/office/drawing/2014/main" xmlns="" id="{00000000-0008-0000-0300-000009000000}"/>
                  </a:ext>
                </a:extLst>
              </xdr:cNvPr>
              <xdr:cNvSpPr/>
            </xdr:nvSpPr>
            <xdr:spPr>
              <a:xfrm>
                <a:off x="8372928" y="2222500"/>
                <a:ext cx="1260000" cy="108000"/>
              </a:xfrm>
              <a:prstGeom prst="trapezoid">
                <a:avLst>
                  <a:gd name="adj" fmla="val 103084"/>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20" name="Flowchart: Off-page Connector 19">
                <a:extLst>
                  <a:ext uri="{FF2B5EF4-FFF2-40B4-BE49-F238E27FC236}">
                    <a16:creationId xmlns:a16="http://schemas.microsoft.com/office/drawing/2014/main" xmlns="" id="{00000000-0008-0000-0300-000014000000}"/>
                  </a:ext>
                </a:extLst>
              </xdr:cNvPr>
              <xdr:cNvSpPr/>
            </xdr:nvSpPr>
            <xdr:spPr>
              <a:xfrm>
                <a:off x="8499929" y="2231571"/>
                <a:ext cx="1006928" cy="1678214"/>
              </a:xfrm>
              <a:prstGeom prst="flowChartOffpageConnector">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grpSp>
        <xdr:sp macro="" textlink="">
          <xdr:nvSpPr>
            <xdr:cNvPr id="61" name="Flowchart: Off-page Connector 60">
              <a:extLst>
                <a:ext uri="{FF2B5EF4-FFF2-40B4-BE49-F238E27FC236}">
                  <a16:creationId xmlns:a16="http://schemas.microsoft.com/office/drawing/2014/main" xmlns="" id="{00000000-0008-0000-0300-00003D000000}"/>
                </a:ext>
              </a:extLst>
            </xdr:cNvPr>
            <xdr:cNvSpPr/>
          </xdr:nvSpPr>
          <xdr:spPr>
            <a:xfrm>
              <a:off x="8596082" y="1973956"/>
              <a:ext cx="792000" cy="1440000"/>
            </a:xfrm>
            <a:prstGeom prst="flowChartOffpageConnector">
              <a:avLst/>
            </a:prstGeom>
            <a:noFill/>
            <a:ln w="28575">
              <a:solidFill>
                <a:schemeClr val="bg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ID" sz="1100"/>
            </a:p>
          </xdr:txBody>
        </xdr:sp>
      </xdr:grpSp>
      <xdr:sp macro="" textlink="">
        <xdr:nvSpPr>
          <xdr:cNvPr id="62" name="TextBox 61">
            <a:extLst>
              <a:ext uri="{FF2B5EF4-FFF2-40B4-BE49-F238E27FC236}">
                <a16:creationId xmlns:a16="http://schemas.microsoft.com/office/drawing/2014/main" xmlns="" id="{00000000-0008-0000-0300-00003E000000}"/>
              </a:ext>
            </a:extLst>
          </xdr:cNvPr>
          <xdr:cNvSpPr txBox="1"/>
        </xdr:nvSpPr>
        <xdr:spPr>
          <a:xfrm>
            <a:off x="8541652" y="1986339"/>
            <a:ext cx="919847" cy="461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id-ID" sz="1200" b="1">
                <a:solidFill>
                  <a:srgbClr val="002060"/>
                </a:solidFill>
                <a:latin typeface="+mn-lt"/>
                <a:ea typeface="+mn-ea"/>
                <a:cs typeface="+mn-cs"/>
              </a:rPr>
              <a:t>TOP PRODUCT</a:t>
            </a:r>
            <a:endParaRPr lang="en-ID" sz="1200" b="1">
              <a:solidFill>
                <a:srgbClr val="002060"/>
              </a:solidFill>
              <a:latin typeface="+mn-lt"/>
              <a:ea typeface="+mn-ea"/>
              <a:cs typeface="+mn-cs"/>
            </a:endParaRPr>
          </a:p>
        </xdr:txBody>
      </xdr:sp>
      <xdr:sp macro="" textlink="'Working Sheet'!V5">
        <xdr:nvSpPr>
          <xdr:cNvPr id="63" name="TextBox 62">
            <a:extLst>
              <a:ext uri="{FF2B5EF4-FFF2-40B4-BE49-F238E27FC236}">
                <a16:creationId xmlns:a16="http://schemas.microsoft.com/office/drawing/2014/main" xmlns="" id="{00000000-0008-0000-0300-00003F000000}"/>
              </a:ext>
            </a:extLst>
          </xdr:cNvPr>
          <xdr:cNvSpPr txBox="1"/>
        </xdr:nvSpPr>
        <xdr:spPr>
          <a:xfrm>
            <a:off x="8608782" y="2457596"/>
            <a:ext cx="771070" cy="3350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ctr" anchorCtr="1">
            <a:spAutoFit/>
          </a:bodyPr>
          <a:lstStyle/>
          <a:p>
            <a:pPr marL="0" indent="0" algn="ctr"/>
            <a:fld id="{A3804EBE-5CC8-4528-B663-149B83AB9C63}" type="TxLink">
              <a:rPr lang="en-US" sz="1200" b="1" i="0" u="none" strike="noStrike">
                <a:solidFill>
                  <a:schemeClr val="accent4">
                    <a:lumMod val="20000"/>
                    <a:lumOff val="80000"/>
                  </a:schemeClr>
                </a:solidFill>
                <a:latin typeface="Tw Cen MT"/>
                <a:ea typeface="+mn-ea"/>
                <a:cs typeface="+mn-cs"/>
              </a:rPr>
              <a:pPr marL="0" indent="0" algn="ctr"/>
              <a:t>Steel Creative &amp; Component</a:t>
            </a:fld>
            <a:endParaRPr lang="en-ID" sz="1200" b="1" i="0" u="none" strike="noStrike">
              <a:solidFill>
                <a:schemeClr val="accent4">
                  <a:lumMod val="20000"/>
                  <a:lumOff val="80000"/>
                </a:schemeClr>
              </a:solidFill>
              <a:latin typeface="Tw Cen MT"/>
              <a:ea typeface="+mn-ea"/>
              <a:cs typeface="+mn-cs"/>
            </a:endParaRPr>
          </a:p>
        </xdr:txBody>
      </xdr:sp>
      <xdr:sp macro="" textlink="'Working Sheet'!AG5">
        <xdr:nvSpPr>
          <xdr:cNvPr id="64" name="TextBox 63">
            <a:extLst>
              <a:ext uri="{FF2B5EF4-FFF2-40B4-BE49-F238E27FC236}">
                <a16:creationId xmlns:a16="http://schemas.microsoft.com/office/drawing/2014/main" xmlns="" id="{00000000-0008-0000-0300-000040000000}"/>
              </a:ext>
            </a:extLst>
          </xdr:cNvPr>
          <xdr:cNvSpPr txBox="1"/>
        </xdr:nvSpPr>
        <xdr:spPr>
          <a:xfrm>
            <a:off x="8527141" y="2833033"/>
            <a:ext cx="988784" cy="3691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60903600-DC12-45EC-A82A-93CB8737CA6C}" type="TxLink">
              <a:rPr lang="en-US" sz="1800" b="1" i="0" u="none" strike="noStrike">
                <a:solidFill>
                  <a:schemeClr val="accent4">
                    <a:lumMod val="20000"/>
                    <a:lumOff val="80000"/>
                  </a:schemeClr>
                </a:solidFill>
                <a:latin typeface="Tw Cen MT"/>
                <a:ea typeface="+mn-ea"/>
                <a:cs typeface="+mn-cs"/>
              </a:rPr>
              <a:pPr marL="0" indent="0" algn="ctr"/>
              <a:t>12.510 T</a:t>
            </a:fld>
            <a:endParaRPr lang="en-ID" sz="3600" b="1">
              <a:solidFill>
                <a:schemeClr val="accent4">
                  <a:lumMod val="20000"/>
                  <a:lumOff val="80000"/>
                </a:schemeClr>
              </a:solidFill>
              <a:latin typeface="+mn-lt"/>
              <a:ea typeface="+mn-ea"/>
              <a:cs typeface="+mn-cs"/>
            </a:endParaRPr>
          </a:p>
        </xdr:txBody>
      </xdr:sp>
      <xdr:pic>
        <xdr:nvPicPr>
          <xdr:cNvPr id="26" name="Graphic 25" descr="Trophy">
            <a:extLst>
              <a:ext uri="{FF2B5EF4-FFF2-40B4-BE49-F238E27FC236}">
                <a16:creationId xmlns:a16="http://schemas.microsoft.com/office/drawing/2014/main" xmlns="" id="{00000000-0008-0000-0300-00001A00000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xmlns="" val="0"/>
              </a:ext>
              <a:ext uri="{96DAC541-7B7A-43D3-8B79-37D633B846F1}">
                <asvg:svgBlip xmlns:asvg="http://schemas.microsoft.com/office/drawing/2016/SVG/main" xmlns="" r:embed="rId16"/>
              </a:ext>
            </a:extLst>
          </a:blip>
          <a:stretch>
            <a:fillRect/>
          </a:stretch>
        </xdr:blipFill>
        <xdr:spPr>
          <a:xfrm>
            <a:off x="8752114" y="3129644"/>
            <a:ext cx="462643" cy="462643"/>
          </a:xfrm>
          <a:prstGeom prst="rect">
            <a:avLst/>
          </a:prstGeom>
        </xdr:spPr>
      </xdr:pic>
    </xdr:grpSp>
    <xdr:clientData/>
  </xdr:twoCellAnchor>
  <xdr:twoCellAnchor>
    <xdr:from>
      <xdr:col>14</xdr:col>
      <xdr:colOff>451756</xdr:colOff>
      <xdr:row>10</xdr:row>
      <xdr:rowOff>52629</xdr:rowOff>
    </xdr:from>
    <xdr:to>
      <xdr:col>16</xdr:col>
      <xdr:colOff>387327</xdr:colOff>
      <xdr:row>21</xdr:row>
      <xdr:rowOff>97973</xdr:rowOff>
    </xdr:to>
    <xdr:grpSp>
      <xdr:nvGrpSpPr>
        <xdr:cNvPr id="76" name="Group 75">
          <a:extLst>
            <a:ext uri="{FF2B5EF4-FFF2-40B4-BE49-F238E27FC236}">
              <a16:creationId xmlns:a16="http://schemas.microsoft.com/office/drawing/2014/main" xmlns="" id="{00000000-0008-0000-0300-00004C000000}"/>
            </a:ext>
          </a:extLst>
        </xdr:cNvPr>
        <xdr:cNvGrpSpPr/>
      </xdr:nvGrpSpPr>
      <xdr:grpSpPr>
        <a:xfrm>
          <a:off x="9595756" y="1821558"/>
          <a:ext cx="1241857" cy="1991165"/>
          <a:chOff x="8372928" y="1859656"/>
          <a:chExt cx="1260000" cy="2041058"/>
        </a:xfrm>
      </xdr:grpSpPr>
      <xdr:grpSp>
        <xdr:nvGrpSpPr>
          <xdr:cNvPr id="77" name="Group 76">
            <a:extLst>
              <a:ext uri="{FF2B5EF4-FFF2-40B4-BE49-F238E27FC236}">
                <a16:creationId xmlns:a16="http://schemas.microsoft.com/office/drawing/2014/main" xmlns="" id="{00000000-0008-0000-0300-00004D000000}"/>
              </a:ext>
            </a:extLst>
          </xdr:cNvPr>
          <xdr:cNvGrpSpPr/>
        </xdr:nvGrpSpPr>
        <xdr:grpSpPr>
          <a:xfrm>
            <a:off x="8372928" y="1859656"/>
            <a:ext cx="1260000" cy="2041058"/>
            <a:chOff x="8372928" y="1859656"/>
            <a:chExt cx="1260000" cy="1687285"/>
          </a:xfrm>
        </xdr:grpSpPr>
        <xdr:grpSp>
          <xdr:nvGrpSpPr>
            <xdr:cNvPr id="82" name="Group 81">
              <a:extLst>
                <a:ext uri="{FF2B5EF4-FFF2-40B4-BE49-F238E27FC236}">
                  <a16:creationId xmlns:a16="http://schemas.microsoft.com/office/drawing/2014/main" xmlns="" id="{00000000-0008-0000-0300-000052000000}"/>
                </a:ext>
              </a:extLst>
            </xdr:cNvPr>
            <xdr:cNvGrpSpPr/>
          </xdr:nvGrpSpPr>
          <xdr:grpSpPr>
            <a:xfrm>
              <a:off x="8372928" y="1859656"/>
              <a:ext cx="1260000" cy="1687285"/>
              <a:chOff x="8372928" y="2222500"/>
              <a:chExt cx="1260000" cy="1687285"/>
            </a:xfrm>
            <a:solidFill>
              <a:schemeClr val="accent5">
                <a:lumMod val="60000"/>
                <a:lumOff val="40000"/>
              </a:schemeClr>
            </a:solidFill>
          </xdr:grpSpPr>
          <xdr:sp macro="" textlink="">
            <xdr:nvSpPr>
              <xdr:cNvPr id="84" name="Trapezoid 83">
                <a:extLst>
                  <a:ext uri="{FF2B5EF4-FFF2-40B4-BE49-F238E27FC236}">
                    <a16:creationId xmlns:a16="http://schemas.microsoft.com/office/drawing/2014/main" xmlns="" id="{00000000-0008-0000-0300-000054000000}"/>
                  </a:ext>
                </a:extLst>
              </xdr:cNvPr>
              <xdr:cNvSpPr/>
            </xdr:nvSpPr>
            <xdr:spPr>
              <a:xfrm>
                <a:off x="8372928" y="2222500"/>
                <a:ext cx="1260000" cy="108000"/>
              </a:xfrm>
              <a:prstGeom prst="trapezoid">
                <a:avLst>
                  <a:gd name="adj" fmla="val 103084"/>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sp macro="" textlink="">
            <xdr:nvSpPr>
              <xdr:cNvPr id="85" name="Flowchart: Off-page Connector 84">
                <a:extLst>
                  <a:ext uri="{FF2B5EF4-FFF2-40B4-BE49-F238E27FC236}">
                    <a16:creationId xmlns:a16="http://schemas.microsoft.com/office/drawing/2014/main" xmlns="" id="{00000000-0008-0000-0300-000055000000}"/>
                  </a:ext>
                </a:extLst>
              </xdr:cNvPr>
              <xdr:cNvSpPr/>
            </xdr:nvSpPr>
            <xdr:spPr>
              <a:xfrm>
                <a:off x="8499929" y="2231571"/>
                <a:ext cx="1006928" cy="1678214"/>
              </a:xfrm>
              <a:prstGeom prst="flowChartOffpageConnector">
                <a:avLst/>
              </a:prstGeom>
              <a:grp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grpSp>
        <xdr:sp macro="" textlink="">
          <xdr:nvSpPr>
            <xdr:cNvPr id="83" name="Flowchart: Off-page Connector 82">
              <a:extLst>
                <a:ext uri="{FF2B5EF4-FFF2-40B4-BE49-F238E27FC236}">
                  <a16:creationId xmlns:a16="http://schemas.microsoft.com/office/drawing/2014/main" xmlns="" id="{00000000-0008-0000-0300-000053000000}"/>
                </a:ext>
              </a:extLst>
            </xdr:cNvPr>
            <xdr:cNvSpPr/>
          </xdr:nvSpPr>
          <xdr:spPr>
            <a:xfrm>
              <a:off x="8596082" y="1973956"/>
              <a:ext cx="792000" cy="1440000"/>
            </a:xfrm>
            <a:prstGeom prst="flowChartOffpageConnector">
              <a:avLst/>
            </a:prstGeom>
            <a:noFill/>
            <a:ln w="28575">
              <a:solidFill>
                <a:schemeClr val="bg1"/>
              </a:solidFill>
              <a:prstDash val="sys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0"/>
            <a:lstStyle/>
            <a:p>
              <a:pPr algn="l"/>
              <a:endParaRPr lang="en-ID" sz="1100"/>
            </a:p>
          </xdr:txBody>
        </xdr:sp>
      </xdr:grpSp>
      <xdr:sp macro="" textlink="">
        <xdr:nvSpPr>
          <xdr:cNvPr id="78" name="TextBox 77">
            <a:extLst>
              <a:ext uri="{FF2B5EF4-FFF2-40B4-BE49-F238E27FC236}">
                <a16:creationId xmlns:a16="http://schemas.microsoft.com/office/drawing/2014/main" xmlns="" id="{00000000-0008-0000-0300-00004E000000}"/>
              </a:ext>
            </a:extLst>
          </xdr:cNvPr>
          <xdr:cNvSpPr txBox="1"/>
        </xdr:nvSpPr>
        <xdr:spPr>
          <a:xfrm>
            <a:off x="8541652" y="1986340"/>
            <a:ext cx="919847" cy="4673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r>
              <a:rPr lang="id-ID" sz="1200" b="1">
                <a:solidFill>
                  <a:srgbClr val="002060"/>
                </a:solidFill>
                <a:latin typeface="+mn-lt"/>
                <a:ea typeface="+mn-ea"/>
                <a:cs typeface="+mn-cs"/>
              </a:rPr>
              <a:t>TOP PROFIT</a:t>
            </a:r>
            <a:endParaRPr lang="en-ID" sz="1200" b="1">
              <a:solidFill>
                <a:srgbClr val="002060"/>
              </a:solidFill>
              <a:latin typeface="+mn-lt"/>
              <a:ea typeface="+mn-ea"/>
              <a:cs typeface="+mn-cs"/>
            </a:endParaRPr>
          </a:p>
        </xdr:txBody>
      </xdr:sp>
      <xdr:sp macro="" textlink="'Working Sheet'!AH4">
        <xdr:nvSpPr>
          <xdr:cNvPr id="79" name="TextBox 78">
            <a:extLst>
              <a:ext uri="{FF2B5EF4-FFF2-40B4-BE49-F238E27FC236}">
                <a16:creationId xmlns:a16="http://schemas.microsoft.com/office/drawing/2014/main" xmlns="" id="{00000000-0008-0000-0300-00004F000000}"/>
              </a:ext>
            </a:extLst>
          </xdr:cNvPr>
          <xdr:cNvSpPr txBox="1"/>
        </xdr:nvSpPr>
        <xdr:spPr>
          <a:xfrm>
            <a:off x="8608782" y="2541369"/>
            <a:ext cx="771070" cy="1675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overflow" horzOverflow="overflow" wrap="square" lIns="0" tIns="0" rIns="0" bIns="0" rtlCol="0" anchor="ctr" anchorCtr="1">
            <a:spAutoFit/>
          </a:bodyPr>
          <a:lstStyle/>
          <a:p>
            <a:pPr marL="0" indent="0" algn="ctr"/>
            <a:fld id="{C8F8F9E5-4204-4BB1-B7D0-AC0704DDA5F6}" type="TxLink">
              <a:rPr lang="en-US" sz="1200" b="1" i="0" u="none" strike="noStrike">
                <a:solidFill>
                  <a:schemeClr val="accent4">
                    <a:lumMod val="20000"/>
                    <a:lumOff val="80000"/>
                  </a:schemeClr>
                </a:solidFill>
                <a:latin typeface="Tw Cen MT"/>
                <a:ea typeface="+mn-ea"/>
                <a:cs typeface="+mn-cs"/>
              </a:rPr>
              <a:pPr marL="0" indent="0" algn="ctr"/>
              <a:t>Steel Creative &amp; Component</a:t>
            </a:fld>
            <a:endParaRPr lang="en-ID" sz="1400" b="1" i="0" u="none" strike="noStrike">
              <a:solidFill>
                <a:schemeClr val="accent4">
                  <a:lumMod val="20000"/>
                  <a:lumOff val="80000"/>
                </a:schemeClr>
              </a:solidFill>
              <a:latin typeface="Tw Cen MT"/>
              <a:ea typeface="+mn-ea"/>
              <a:cs typeface="+mn-cs"/>
            </a:endParaRPr>
          </a:p>
        </xdr:txBody>
      </xdr:sp>
      <xdr:sp macro="" textlink="'Working Sheet'!AG4">
        <xdr:nvSpPr>
          <xdr:cNvPr id="80" name="TextBox 79">
            <a:extLst>
              <a:ext uri="{FF2B5EF4-FFF2-40B4-BE49-F238E27FC236}">
                <a16:creationId xmlns:a16="http://schemas.microsoft.com/office/drawing/2014/main" xmlns="" id="{00000000-0008-0000-0300-000050000000}"/>
              </a:ext>
            </a:extLst>
          </xdr:cNvPr>
          <xdr:cNvSpPr txBox="1"/>
        </xdr:nvSpPr>
        <xdr:spPr>
          <a:xfrm>
            <a:off x="8527141" y="2833033"/>
            <a:ext cx="988784" cy="36918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8BBE6237-CB1C-4797-BAB0-09663E3473EE}" type="TxLink">
              <a:rPr lang="en-US" sz="1800" b="1" i="0" u="none" strike="noStrike">
                <a:solidFill>
                  <a:schemeClr val="accent4">
                    <a:lumMod val="20000"/>
                    <a:lumOff val="80000"/>
                  </a:schemeClr>
                </a:solidFill>
                <a:latin typeface="Tw Cen MT"/>
                <a:ea typeface="+mn-ea"/>
                <a:cs typeface="+mn-cs"/>
              </a:rPr>
              <a:pPr marL="0" indent="0" algn="ctr"/>
              <a:t>362%</a:t>
            </a:fld>
            <a:endParaRPr lang="en-ID" sz="3600" b="1">
              <a:solidFill>
                <a:schemeClr val="accent4">
                  <a:lumMod val="20000"/>
                  <a:lumOff val="80000"/>
                </a:schemeClr>
              </a:solidFill>
              <a:latin typeface="+mn-lt"/>
              <a:ea typeface="+mn-ea"/>
              <a:cs typeface="+mn-cs"/>
            </a:endParaRPr>
          </a:p>
        </xdr:txBody>
      </xdr:sp>
    </xdr:grpSp>
    <xdr:clientData/>
  </xdr:twoCellAnchor>
  <xdr:twoCellAnchor editAs="oneCell">
    <xdr:from>
      <xdr:col>15</xdr:col>
      <xdr:colOff>199571</xdr:colOff>
      <xdr:row>17</xdr:row>
      <xdr:rowOff>63499</xdr:rowOff>
    </xdr:from>
    <xdr:to>
      <xdr:col>16</xdr:col>
      <xdr:colOff>1756</xdr:colOff>
      <xdr:row>19</xdr:row>
      <xdr:rowOff>165042</xdr:rowOff>
    </xdr:to>
    <xdr:pic>
      <xdr:nvPicPr>
        <xdr:cNvPr id="42" name="Graphic 41" descr="Ribbon">
          <a:extLst>
            <a:ext uri="{FF2B5EF4-FFF2-40B4-BE49-F238E27FC236}">
              <a16:creationId xmlns:a16="http://schemas.microsoft.com/office/drawing/2014/main" xmlns="" id="{00000000-0008-0000-0300-00002A00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xmlns="" val="0"/>
            </a:ext>
            <a:ext uri="{96DAC541-7B7A-43D3-8B79-37D633B846F1}">
              <asvg:svgBlip xmlns:asvg="http://schemas.microsoft.com/office/drawing/2016/SVG/main" xmlns="" r:embed="rId18"/>
            </a:ext>
          </a:extLst>
        </a:blip>
        <a:stretch>
          <a:fillRect/>
        </a:stretch>
      </xdr:blipFill>
      <xdr:spPr>
        <a:xfrm>
          <a:off x="10132785" y="3147785"/>
          <a:ext cx="464400" cy="464400"/>
        </a:xfrm>
        <a:prstGeom prst="rect">
          <a:avLst/>
        </a:prstGeom>
      </xdr:spPr>
    </xdr:pic>
    <xdr:clientData/>
  </xdr:twoCellAnchor>
  <xdr:twoCellAnchor>
    <xdr:from>
      <xdr:col>0</xdr:col>
      <xdr:colOff>81644</xdr:colOff>
      <xdr:row>34</xdr:row>
      <xdr:rowOff>68336</xdr:rowOff>
    </xdr:from>
    <xdr:to>
      <xdr:col>2</xdr:col>
      <xdr:colOff>27215</xdr:colOff>
      <xdr:row>40</xdr:row>
      <xdr:rowOff>129721</xdr:rowOff>
    </xdr:to>
    <xdr:sp macro="" textlink="">
      <xdr:nvSpPr>
        <xdr:cNvPr id="86" name="Rectangle: Rounded Corners 85">
          <a:extLst>
            <a:ext uri="{FF2B5EF4-FFF2-40B4-BE49-F238E27FC236}">
              <a16:creationId xmlns:a16="http://schemas.microsoft.com/office/drawing/2014/main" xmlns="" id="{00000000-0008-0000-0300-000056000000}"/>
            </a:ext>
          </a:extLst>
        </xdr:cNvPr>
        <xdr:cNvSpPr/>
      </xdr:nvSpPr>
      <xdr:spPr>
        <a:xfrm>
          <a:off x="81644" y="6236907"/>
          <a:ext cx="1270000" cy="1149957"/>
        </a:xfrm>
        <a:prstGeom prst="roundRect">
          <a:avLst>
            <a:gd name="adj" fmla="val 4498"/>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335642</xdr:colOff>
      <xdr:row>28</xdr:row>
      <xdr:rowOff>145140</xdr:rowOff>
    </xdr:from>
    <xdr:to>
      <xdr:col>12</xdr:col>
      <xdr:colOff>72572</xdr:colOff>
      <xdr:row>40</xdr:row>
      <xdr:rowOff>117929</xdr:rowOff>
    </xdr:to>
    <xdr:graphicFrame macro="">
      <xdr:nvGraphicFramePr>
        <xdr:cNvPr id="89" name="Chart 88">
          <a:extLst>
            <a:ext uri="{FF2B5EF4-FFF2-40B4-BE49-F238E27FC236}">
              <a16:creationId xmlns:a16="http://schemas.microsoft.com/office/drawing/2014/main" xmlns="" id="{00000000-0008-0000-0300-00005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2</xdr:col>
      <xdr:colOff>408214</xdr:colOff>
      <xdr:row>27</xdr:row>
      <xdr:rowOff>99786</xdr:rowOff>
    </xdr:from>
    <xdr:ext cx="1866088" cy="259879"/>
    <xdr:sp macro="" textlink="">
      <xdr:nvSpPr>
        <xdr:cNvPr id="91" name="TextBox 90">
          <a:extLst>
            <a:ext uri="{FF2B5EF4-FFF2-40B4-BE49-F238E27FC236}">
              <a16:creationId xmlns:a16="http://schemas.microsoft.com/office/drawing/2014/main" xmlns="" id="{00000000-0008-0000-0300-00005B000000}"/>
            </a:ext>
          </a:extLst>
        </xdr:cNvPr>
        <xdr:cNvSpPr txBox="1"/>
      </xdr:nvSpPr>
      <xdr:spPr>
        <a:xfrm>
          <a:off x="1732643" y="4998357"/>
          <a:ext cx="1866088"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id-ID" sz="1200" b="1">
              <a:solidFill>
                <a:schemeClr val="accent1"/>
              </a:solidFill>
              <a:latin typeface="+mn-lt"/>
              <a:ea typeface="+mn-ea"/>
              <a:cs typeface="+mn-cs"/>
            </a:rPr>
            <a:t>PROGRESS PER SEMESTER</a:t>
          </a:r>
          <a:endParaRPr lang="en-ID" sz="1200" b="1">
            <a:solidFill>
              <a:schemeClr val="accent1"/>
            </a:solidFill>
            <a:latin typeface="+mn-lt"/>
            <a:ea typeface="+mn-ea"/>
            <a:cs typeface="+mn-cs"/>
          </a:endParaRPr>
        </a:p>
      </xdr:txBody>
    </xdr:sp>
    <xdr:clientData/>
  </xdr:oneCellAnchor>
  <xdr:twoCellAnchor editAs="oneCell">
    <xdr:from>
      <xdr:col>2</xdr:col>
      <xdr:colOff>181428</xdr:colOff>
      <xdr:row>27</xdr:row>
      <xdr:rowOff>72574</xdr:rowOff>
    </xdr:from>
    <xdr:to>
      <xdr:col>2</xdr:col>
      <xdr:colOff>491028</xdr:colOff>
      <xdr:row>29</xdr:row>
      <xdr:rowOff>19316</xdr:rowOff>
    </xdr:to>
    <xdr:pic>
      <xdr:nvPicPr>
        <xdr:cNvPr id="93" name="Graphic 92" descr="Upward trend">
          <a:extLst>
            <a:ext uri="{FF2B5EF4-FFF2-40B4-BE49-F238E27FC236}">
              <a16:creationId xmlns:a16="http://schemas.microsoft.com/office/drawing/2014/main" xmlns="" id="{00000000-0008-0000-0300-00005D000000}"/>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xmlns="" val="0"/>
            </a:ext>
            <a:ext uri="{96DAC541-7B7A-43D3-8B79-37D633B846F1}">
              <asvg:svgBlip xmlns:asvg="http://schemas.microsoft.com/office/drawing/2016/SVG/main" xmlns="" r:embed="rId21"/>
            </a:ext>
          </a:extLst>
        </a:blip>
        <a:stretch>
          <a:fillRect/>
        </a:stretch>
      </xdr:blipFill>
      <xdr:spPr>
        <a:xfrm>
          <a:off x="1505857" y="4971145"/>
          <a:ext cx="309600" cy="309600"/>
        </a:xfrm>
        <a:prstGeom prst="rect">
          <a:avLst/>
        </a:prstGeom>
      </xdr:spPr>
    </xdr:pic>
    <xdr:clientData/>
  </xdr:twoCellAnchor>
  <xdr:twoCellAnchor editAs="oneCell">
    <xdr:from>
      <xdr:col>0</xdr:col>
      <xdr:colOff>181428</xdr:colOff>
      <xdr:row>35</xdr:row>
      <xdr:rowOff>20863</xdr:rowOff>
    </xdr:from>
    <xdr:to>
      <xdr:col>1</xdr:col>
      <xdr:colOff>598715</xdr:colOff>
      <xdr:row>40</xdr:row>
      <xdr:rowOff>66221</xdr:rowOff>
    </xdr:to>
    <mc:AlternateContent xmlns:mc="http://schemas.openxmlformats.org/markup-compatibility/2006">
      <mc:Choice xmlns:a14="http://schemas.microsoft.com/office/drawing/2010/main" xmlns="" Requires="a14">
        <xdr:graphicFrame macro="">
          <xdr:nvGraphicFramePr>
            <xdr:cNvPr id="102" name="SEMESTER 1">
              <a:extLst>
                <a:ext uri="{FF2B5EF4-FFF2-40B4-BE49-F238E27FC236}">
                  <a16:creationId xmlns:a16="http://schemas.microsoft.com/office/drawing/2014/main" id="{00000000-0008-0000-0300-000066000000}"/>
                </a:ext>
              </a:extLst>
            </xdr:cNvPr>
            <xdr:cNvGraphicFramePr/>
          </xdr:nvGraphicFramePr>
          <xdr:xfrm>
            <a:off x="0" y="0"/>
            <a:ext cx="0" cy="0"/>
          </xdr:xfrm>
          <a:graphic>
            <a:graphicData uri="http://schemas.microsoft.com/office/drawing/2010/slicer">
              <sle:slicer xmlns:sle="http://schemas.microsoft.com/office/drawing/2010/slicer" name="SEMESTER 1"/>
            </a:graphicData>
          </a:graphic>
        </xdr:graphicFrame>
      </mc:Choice>
      <mc:Fallback>
        <xdr:sp macro="" textlink="">
          <xdr:nvSpPr>
            <xdr:cNvPr id="68" name="Rectangle 67"/>
            <xdr:cNvSpPr>
              <a:spLocks noTextEdit="1"/>
            </xdr:cNvSpPr>
          </xdr:nvSpPr>
          <xdr:spPr>
            <a:xfrm>
              <a:off x="181428" y="6370863"/>
              <a:ext cx="1079501" cy="95250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12</xdr:col>
      <xdr:colOff>638625</xdr:colOff>
      <xdr:row>22</xdr:row>
      <xdr:rowOff>146655</xdr:rowOff>
    </xdr:from>
    <xdr:ext cx="2541914" cy="259879"/>
    <xdr:sp macro="" textlink="">
      <xdr:nvSpPr>
        <xdr:cNvPr id="70" name="TextBox 69">
          <a:extLst>
            <a:ext uri="{FF2B5EF4-FFF2-40B4-BE49-F238E27FC236}">
              <a16:creationId xmlns:a16="http://schemas.microsoft.com/office/drawing/2014/main" xmlns="" id="{00000000-0008-0000-0300-000046000000}"/>
            </a:ext>
          </a:extLst>
        </xdr:cNvPr>
        <xdr:cNvSpPr txBox="1"/>
      </xdr:nvSpPr>
      <xdr:spPr>
        <a:xfrm>
          <a:off x="8563425" y="4058255"/>
          <a:ext cx="2541914" cy="2598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id-ID" sz="1200" b="1">
              <a:solidFill>
                <a:schemeClr val="accent1"/>
              </a:solidFill>
              <a:latin typeface="+mn-lt"/>
              <a:ea typeface="+mn-ea"/>
              <a:cs typeface="+mn-cs"/>
            </a:rPr>
            <a:t>PROFIT</a:t>
          </a:r>
          <a:r>
            <a:rPr lang="id-ID" sz="1200" b="1" baseline="0">
              <a:solidFill>
                <a:schemeClr val="accent1"/>
              </a:solidFill>
              <a:latin typeface="+mn-lt"/>
              <a:ea typeface="+mn-ea"/>
              <a:cs typeface="+mn-cs"/>
            </a:rPr>
            <a:t> by SUBSIDIARY (Million IDR)</a:t>
          </a:r>
          <a:endParaRPr lang="en-ID" sz="1200" b="1">
            <a:solidFill>
              <a:schemeClr val="accent1"/>
            </a:solidFill>
            <a:latin typeface="+mn-lt"/>
            <a:ea typeface="+mn-ea"/>
            <a:cs typeface="+mn-cs"/>
          </a:endParaRPr>
        </a:p>
      </xdr:txBody>
    </xdr:sp>
    <xdr:clientData/>
  </xdr:oneCellAnchor>
  <xdr:twoCellAnchor>
    <xdr:from>
      <xdr:col>13</xdr:col>
      <xdr:colOff>266700</xdr:colOff>
      <xdr:row>27</xdr:row>
      <xdr:rowOff>-1</xdr:rowOff>
    </xdr:from>
    <xdr:to>
      <xdr:col>15</xdr:col>
      <xdr:colOff>393700</xdr:colOff>
      <xdr:row>35</xdr:row>
      <xdr:rowOff>25880</xdr:rowOff>
    </xdr:to>
    <xdr:sp macro="" textlink="'Working Sheet'!AP8">
      <xdr:nvSpPr>
        <xdr:cNvPr id="18" name="Oval 4">
          <a:extLst>
            <a:ext uri="{FF2B5EF4-FFF2-40B4-BE49-F238E27FC236}">
              <a16:creationId xmlns:a16="http://schemas.microsoft.com/office/drawing/2014/main" xmlns="" id="{00000000-0008-0000-0300-000005000000}"/>
            </a:ext>
          </a:extLst>
        </xdr:cNvPr>
        <xdr:cNvSpPr>
          <a:spLocks noChangeAspect="1"/>
        </xdr:cNvSpPr>
      </xdr:nvSpPr>
      <xdr:spPr>
        <a:xfrm>
          <a:off x="8851900" y="4800599"/>
          <a:ext cx="1447800" cy="1448281"/>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fld id="{A8ED10B0-2D40-4818-A4E0-1514B1E8B83B}" type="TxLink">
            <a:rPr lang="en-US" sz="2800" b="1" i="0" u="none" strike="noStrike">
              <a:solidFill>
                <a:schemeClr val="accent6">
                  <a:lumMod val="75000"/>
                </a:schemeClr>
              </a:solidFill>
              <a:latin typeface="Tw Cen MT"/>
            </a:rPr>
            <a:pPr algn="ctr"/>
            <a:t> 19.497 </a:t>
          </a:fld>
          <a:endParaRPr lang="en-ID" sz="2800" b="1">
            <a:solidFill>
              <a:schemeClr val="accent6">
                <a:lumMod val="75000"/>
              </a:schemeClr>
            </a:solidFill>
          </a:endParaRPr>
        </a:p>
      </xdr:txBody>
    </xdr:sp>
    <xdr:clientData/>
  </xdr:twoCellAnchor>
  <xdr:twoCellAnchor editAs="oneCell">
    <xdr:from>
      <xdr:col>12</xdr:col>
      <xdr:colOff>419100</xdr:colOff>
      <xdr:row>22</xdr:row>
      <xdr:rowOff>114300</xdr:rowOff>
    </xdr:from>
    <xdr:to>
      <xdr:col>13</xdr:col>
      <xdr:colOff>88900</xdr:colOff>
      <xdr:row>24</xdr:row>
      <xdr:rowOff>88900</xdr:rowOff>
    </xdr:to>
    <xdr:pic>
      <xdr:nvPicPr>
        <xdr:cNvPr id="29" name="Picture 24">
          <a:extLst>
            <a:ext uri="{FF2B5EF4-FFF2-40B4-BE49-F238E27FC236}">
              <a16:creationId xmlns:a16="http://schemas.microsoft.com/office/drawing/2014/main" xmlns="" id="{00000000-0008-0000-0300-000019000000}"/>
            </a:ext>
          </a:extLst>
        </xdr:cNvPr>
        <xdr:cNvPicPr>
          <a:picLocks noChangeAspect="1"/>
        </xdr:cNvPicPr>
      </xdr:nvPicPr>
      <xdr:blipFill>
        <a:blip xmlns:r="http://schemas.openxmlformats.org/officeDocument/2006/relationships" r:embed="rId22" cstate="print">
          <a:duotone>
            <a:schemeClr val="accent1">
              <a:shade val="45000"/>
              <a:satMod val="135000"/>
            </a:schemeClr>
            <a:prstClr val="white"/>
          </a:duotone>
          <a:extLst>
            <a:ext uri="{28A0092B-C50C-407E-A947-70E740481C1C}">
              <a14:useLocalDpi xmlns:a14="http://schemas.microsoft.com/office/drawing/2010/main" xmlns="" val="0"/>
            </a:ext>
          </a:extLst>
        </a:blip>
        <a:stretch>
          <a:fillRect/>
        </a:stretch>
      </xdr:blipFill>
      <xdr:spPr>
        <a:xfrm>
          <a:off x="8343900" y="4025900"/>
          <a:ext cx="330200" cy="3302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WORK/RESEARCH%20&amp;%20DEVELOPMENT/03%20TOTAL%20STEEL%20SOLUTION/01%20DOWNSTREAM/02%20Laporan%20Komite%20Hilirisasi/2023/Desember/KBK_Progres%20KPI%20ke%20KS%20sd%20Des23%20(SentK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01.%20KBK_Hilirisasi%20Januari%202024.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ENOVO/Downloads/2402.%20KBK_Hilirisasi%20Februari%202024.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LENOVO/Downloads/2403.%20KBK_Hilirisasi%20Maret%202024%20(SentK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LENOVO/Downloads/2404.%20KBK_Hilirisasi%20April%202024%20(Sent).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404.%20KBK_Hilirisasi%20April%202024%20(Sent).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405.%20KBK_Hilirisasi%20Mei%202024%20(SentKS).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406.%20KBK_Hilirisasi%20Juni%202024%20(SentKS).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2407.%20KBK_Hilirisasi%20Juli%202024%20(Sent).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LENOVO/Downloads/2408.%20KBK_Hilirisasi%20Agustus%202024%20(Sent).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409.%20KBK_Hilirisasi%20September%202024%20(SentKS).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LENOVO/Downloads/2410.%20KBK_Hilirisasi%20Okt%202024%20(sent).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LENOVO/Downloads/2411.%20KBK_Hilirisasi%20Nov%202024%20(Sent).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412.%20KBK_Hilirisasi%20Des%202024%20(Sent).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BK_Hilirisasi%202025%20Full%20Year%20(Sent).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roup Nerve"/>
      <sheetName val="Steel Based Product"/>
      <sheetName val="Realisasi Hilirisasi"/>
      <sheetName val="Rekap Per Produk"/>
      <sheetName val="Per AP"/>
      <sheetName val="Per AP#2"/>
      <sheetName val="Steel Based Product (2)"/>
      <sheetName val="Sheet2"/>
    </sheetNames>
    <sheetDataSet>
      <sheetData sheetId="0"/>
      <sheetData sheetId="1"/>
      <sheetData sheetId="2">
        <row r="7">
          <cell r="F7">
            <v>3546000000</v>
          </cell>
          <cell r="H7">
            <v>425520000</v>
          </cell>
        </row>
        <row r="8">
          <cell r="F8">
            <v>4102702725</v>
          </cell>
          <cell r="H8">
            <v>328216218</v>
          </cell>
        </row>
        <row r="9">
          <cell r="F9">
            <v>46950000</v>
          </cell>
          <cell r="H9">
            <v>16432499.999999998</v>
          </cell>
        </row>
        <row r="13">
          <cell r="F13">
            <v>3447663576.1589403</v>
          </cell>
          <cell r="H13">
            <v>259758739.07284766</v>
          </cell>
        </row>
        <row r="16">
          <cell r="F16">
            <v>101881064.90066226</v>
          </cell>
          <cell r="H16">
            <v>5094053.2450331133</v>
          </cell>
        </row>
        <row r="20">
          <cell r="F20">
            <v>2356440527</v>
          </cell>
          <cell r="H20">
            <v>117822026.35000001</v>
          </cell>
        </row>
        <row r="21">
          <cell r="F21">
            <v>9051095705</v>
          </cell>
          <cell r="H21">
            <v>135766435.57499999</v>
          </cell>
        </row>
        <row r="22">
          <cell r="F22">
            <v>232756675</v>
          </cell>
          <cell r="H22">
            <v>3491350.125</v>
          </cell>
        </row>
        <row r="23">
          <cell r="F23">
            <v>4758562</v>
          </cell>
          <cell r="H23">
            <v>71378.429999999993</v>
          </cell>
        </row>
        <row r="24">
          <cell r="F24">
            <v>479368010</v>
          </cell>
          <cell r="H24">
            <v>7190520.1499999994</v>
          </cell>
        </row>
        <row r="29">
          <cell r="F29">
            <v>1500000000</v>
          </cell>
          <cell r="H29">
            <v>120000000</v>
          </cell>
        </row>
        <row r="37">
          <cell r="E37">
            <v>86.868283565217382</v>
          </cell>
          <cell r="F37">
            <v>1997970582</v>
          </cell>
          <cell r="H37">
            <v>199797058.20000002</v>
          </cell>
        </row>
        <row r="38">
          <cell r="E38">
            <v>473.68542943934227</v>
          </cell>
          <cell r="F38">
            <v>8160720605</v>
          </cell>
          <cell r="H38">
            <v>1158238345.0596323</v>
          </cell>
        </row>
        <row r="39">
          <cell r="E39">
            <v>0.35603239999999997</v>
          </cell>
          <cell r="F39">
            <v>17801620</v>
          </cell>
          <cell r="H39">
            <v>6230567</v>
          </cell>
        </row>
        <row r="40">
          <cell r="E40">
            <v>20.250528782608697</v>
          </cell>
          <cell r="F40">
            <v>495462162</v>
          </cell>
          <cell r="H40">
            <v>74319324.299999997</v>
          </cell>
        </row>
        <row r="44">
          <cell r="E44">
            <v>89.4</v>
          </cell>
          <cell r="F44">
            <v>1665000000</v>
          </cell>
          <cell r="H44">
            <v>65214000</v>
          </cell>
        </row>
        <row r="50">
          <cell r="E50">
            <v>45.718604844101492</v>
          </cell>
          <cell r="F50">
            <v>504507263</v>
          </cell>
          <cell r="H50">
            <v>300392742.34504503</v>
          </cell>
        </row>
        <row r="51">
          <cell r="E51">
            <v>383.3135951558985</v>
          </cell>
          <cell r="F51">
            <v>7153083569</v>
          </cell>
          <cell r="H51">
            <v>105741395</v>
          </cell>
        </row>
        <row r="52">
          <cell r="E52">
            <v>288.96780000000001</v>
          </cell>
          <cell r="F52">
            <v>4634409168</v>
          </cell>
          <cell r="H52">
            <v>68930130</v>
          </cell>
        </row>
        <row r="59">
          <cell r="E59">
            <v>85.714285714285708</v>
          </cell>
          <cell r="F59">
            <v>1500000000</v>
          </cell>
          <cell r="H59">
            <v>120000000</v>
          </cell>
        </row>
        <row r="64">
          <cell r="E64">
            <v>90.48375999999999</v>
          </cell>
          <cell r="F64">
            <v>2114967684</v>
          </cell>
          <cell r="H64">
            <v>158622576.29999998</v>
          </cell>
        </row>
        <row r="65">
          <cell r="E65">
            <v>202.97499115384613</v>
          </cell>
          <cell r="F65">
            <v>5278437250</v>
          </cell>
          <cell r="H65">
            <v>395882793.75</v>
          </cell>
        </row>
        <row r="66">
          <cell r="E66">
            <v>56.078480000000006</v>
          </cell>
          <cell r="F66">
            <v>986072520.74000001</v>
          </cell>
          <cell r="H66">
            <v>74760957.074000001</v>
          </cell>
        </row>
        <row r="68">
          <cell r="E68">
            <v>165.25035909514443</v>
          </cell>
          <cell r="F68">
            <v>3515553019.21</v>
          </cell>
          <cell r="H68">
            <v>263666476.44074985</v>
          </cell>
        </row>
        <row r="71">
          <cell r="E71">
            <v>231.136</v>
          </cell>
          <cell r="F71">
            <v>3783488000</v>
          </cell>
          <cell r="H71">
            <v>80435328</v>
          </cell>
        </row>
        <row r="72">
          <cell r="E72">
            <v>19.25</v>
          </cell>
          <cell r="F72">
            <v>362500000</v>
          </cell>
          <cell r="H72">
            <v>14822500</v>
          </cell>
        </row>
        <row r="78">
          <cell r="E78">
            <v>0</v>
          </cell>
          <cell r="H78">
            <v>300392742.34504503</v>
          </cell>
        </row>
        <row r="79">
          <cell r="E79">
            <v>254.09420537405782</v>
          </cell>
          <cell r="F79">
            <v>4929139510</v>
          </cell>
          <cell r="H79">
            <v>74923817</v>
          </cell>
        </row>
        <row r="80">
          <cell r="E80">
            <v>0</v>
          </cell>
          <cell r="H80">
            <v>68930130</v>
          </cell>
        </row>
        <row r="82">
          <cell r="E82">
            <v>545.25179462594224</v>
          </cell>
          <cell r="F82">
            <v>13035441011</v>
          </cell>
          <cell r="H82">
            <v>195531615.16499999</v>
          </cell>
        </row>
        <row r="87">
          <cell r="E87">
            <v>85.714285714285708</v>
          </cell>
          <cell r="F87">
            <v>1500000000</v>
          </cell>
          <cell r="H87">
            <v>120000000</v>
          </cell>
        </row>
        <row r="92">
          <cell r="E92">
            <v>6.58927</v>
          </cell>
          <cell r="F92">
            <v>164495893</v>
          </cell>
          <cell r="H92">
            <v>9883905</v>
          </cell>
        </row>
        <row r="93">
          <cell r="E93">
            <v>138.46724137931034</v>
          </cell>
          <cell r="F93">
            <v>4015550000</v>
          </cell>
          <cell r="H93">
            <v>200777500</v>
          </cell>
        </row>
        <row r="94">
          <cell r="E94">
            <v>0.49306499999999998</v>
          </cell>
          <cell r="F94">
            <v>12326625</v>
          </cell>
          <cell r="H94">
            <v>654768.75</v>
          </cell>
        </row>
        <row r="100">
          <cell r="E100">
            <v>77.099999999999994</v>
          </cell>
          <cell r="F100">
            <v>1410000000</v>
          </cell>
          <cell r="H100">
            <v>58071000</v>
          </cell>
        </row>
        <row r="107">
          <cell r="E107">
            <v>329</v>
          </cell>
          <cell r="F107">
            <v>6304000000</v>
          </cell>
          <cell r="H107">
            <v>95821946.489804268</v>
          </cell>
        </row>
        <row r="110">
          <cell r="E110">
            <v>114</v>
          </cell>
          <cell r="F110">
            <v>1686000000</v>
          </cell>
          <cell r="H110">
            <v>25290000</v>
          </cell>
        </row>
        <row r="115">
          <cell r="E115">
            <v>85.714285714285708</v>
          </cell>
          <cell r="F115">
            <v>1500000000</v>
          </cell>
          <cell r="H115">
            <v>75000000</v>
          </cell>
        </row>
        <row r="120">
          <cell r="E120">
            <v>2.9956646938775502</v>
          </cell>
          <cell r="F120">
            <v>73253735</v>
          </cell>
          <cell r="H120">
            <v>7325373.5</v>
          </cell>
        </row>
        <row r="121">
          <cell r="E121">
            <v>23.424546216610178</v>
          </cell>
          <cell r="F121">
            <v>183688471.69000006</v>
          </cell>
          <cell r="H121">
            <v>14695077.735199988</v>
          </cell>
        </row>
        <row r="122">
          <cell r="E122">
            <v>12.976618675510204</v>
          </cell>
          <cell r="F122">
            <v>212714642.73999977</v>
          </cell>
          <cell r="H122">
            <v>21271464.274000019</v>
          </cell>
        </row>
        <row r="124">
          <cell r="E124">
            <v>1727.6680000000001</v>
          </cell>
          <cell r="F124">
            <v>15071008000</v>
          </cell>
          <cell r="H124">
            <v>1507100800</v>
          </cell>
        </row>
        <row r="127">
          <cell r="E127">
            <v>64.593456953642402</v>
          </cell>
          <cell r="F127">
            <v>24836423.841058731</v>
          </cell>
          <cell r="H127">
            <v>1871260.9271523356</v>
          </cell>
        </row>
        <row r="128">
          <cell r="E128">
            <v>2.3100000000000023</v>
          </cell>
          <cell r="F128">
            <v>43500000</v>
          </cell>
          <cell r="H128">
            <v>1778700</v>
          </cell>
        </row>
        <row r="130">
          <cell r="E130">
            <v>31.924757403973508</v>
          </cell>
          <cell r="F130">
            <v>3318618935.0993376</v>
          </cell>
          <cell r="H130">
            <v>97520946.754966885</v>
          </cell>
        </row>
        <row r="135">
          <cell r="E135">
            <v>170.64246600311526</v>
          </cell>
          <cell r="F135">
            <v>9133525991</v>
          </cell>
          <cell r="H135">
            <v>141359940.93519574</v>
          </cell>
        </row>
        <row r="136">
          <cell r="F136">
            <v>-4746796443</v>
          </cell>
          <cell r="H136">
            <v>-128714192.125</v>
          </cell>
        </row>
        <row r="137">
          <cell r="F137">
            <v>-4758562</v>
          </cell>
          <cell r="H137">
            <v>-71378.429999999993</v>
          </cell>
        </row>
        <row r="138">
          <cell r="F138">
            <v>610948553.29999924</v>
          </cell>
          <cell r="H138">
            <v>-475416778.69004548</v>
          </cell>
        </row>
        <row r="143">
          <cell r="E143">
            <v>85.714285714285708</v>
          </cell>
          <cell r="F143">
            <v>1500000000</v>
          </cell>
          <cell r="H143">
            <v>75000000</v>
          </cell>
        </row>
        <row r="148">
          <cell r="E148">
            <v>0.20398666666666668</v>
          </cell>
          <cell r="F148">
            <v>4589700</v>
          </cell>
          <cell r="H148">
            <v>367180</v>
          </cell>
        </row>
        <row r="149">
          <cell r="E149">
            <v>117.944675</v>
          </cell>
          <cell r="F149">
            <v>2358893500</v>
          </cell>
          <cell r="H149">
            <v>117944675</v>
          </cell>
        </row>
        <row r="150">
          <cell r="E150">
            <v>306.36093087722224</v>
          </cell>
          <cell r="F150">
            <v>2558279977.1900001</v>
          </cell>
          <cell r="H150">
            <v>319815125.4000001</v>
          </cell>
        </row>
        <row r="151">
          <cell r="E151">
            <v>6.302160024</v>
          </cell>
          <cell r="F151">
            <v>126043200.48</v>
          </cell>
          <cell r="H151">
            <v>5424000</v>
          </cell>
        </row>
        <row r="155">
          <cell r="E155">
            <v>34.950000000000003</v>
          </cell>
          <cell r="F155">
            <v>543192900</v>
          </cell>
          <cell r="H155">
            <v>10030650</v>
          </cell>
        </row>
        <row r="156">
          <cell r="E156">
            <v>253</v>
          </cell>
          <cell r="F156">
            <v>4221750000</v>
          </cell>
          <cell r="H156">
            <v>450939940</v>
          </cell>
        </row>
        <row r="163">
          <cell r="E163">
            <v>323</v>
          </cell>
          <cell r="F163">
            <v>5838000000</v>
          </cell>
          <cell r="H163">
            <v>87570000</v>
          </cell>
        </row>
        <row r="166">
          <cell r="E166">
            <v>337</v>
          </cell>
          <cell r="F166">
            <v>5774000000</v>
          </cell>
          <cell r="H166">
            <v>86610000</v>
          </cell>
        </row>
        <row r="171">
          <cell r="E171">
            <v>57.58</v>
          </cell>
          <cell r="F171">
            <v>1137808518</v>
          </cell>
          <cell r="H171">
            <v>45512340.719999999</v>
          </cell>
        </row>
        <row r="172">
          <cell r="E172">
            <v>233.8</v>
          </cell>
          <cell r="F172">
            <v>3537702246</v>
          </cell>
          <cell r="H172">
            <v>141508089.84</v>
          </cell>
        </row>
        <row r="177">
          <cell r="E177">
            <v>44.671550000000003</v>
          </cell>
          <cell r="F177">
            <v>993961475</v>
          </cell>
          <cell r="H177">
            <v>89056715.5</v>
          </cell>
        </row>
        <row r="178">
          <cell r="E178">
            <v>323.66034347310347</v>
          </cell>
          <cell r="F178">
            <v>6019616196.7000008</v>
          </cell>
          <cell r="H178">
            <v>21077.790150400637</v>
          </cell>
        </row>
        <row r="179">
          <cell r="E179">
            <v>80.028747200000026</v>
          </cell>
          <cell r="F179">
            <v>1841806257.5599995</v>
          </cell>
          <cell r="H179">
            <v>121629551.1362502</v>
          </cell>
        </row>
        <row r="180">
          <cell r="E180">
            <v>806.68399999999997</v>
          </cell>
          <cell r="F180">
            <v>5641783243.1599998</v>
          </cell>
          <cell r="H180">
            <v>403342000</v>
          </cell>
        </row>
        <row r="184">
          <cell r="E184">
            <v>407.2</v>
          </cell>
          <cell r="F184">
            <v>6187422200</v>
          </cell>
          <cell r="H184">
            <v>70063700</v>
          </cell>
        </row>
        <row r="192">
          <cell r="E192">
            <v>578.0797111602817</v>
          </cell>
          <cell r="F192">
            <v>10170619525</v>
          </cell>
          <cell r="H192">
            <v>194816729</v>
          </cell>
        </row>
        <row r="195">
          <cell r="E195">
            <v>47.782400000000003</v>
          </cell>
          <cell r="F195">
            <v>785414898</v>
          </cell>
          <cell r="H195">
            <v>20232921.759369373</v>
          </cell>
        </row>
        <row r="200">
          <cell r="E200">
            <v>57.58</v>
          </cell>
          <cell r="F200">
            <v>1137808518</v>
          </cell>
          <cell r="H200">
            <v>45512340.719999999</v>
          </cell>
        </row>
        <row r="207">
          <cell r="E207">
            <v>89.137439999999984</v>
          </cell>
          <cell r="F207">
            <v>1992611524</v>
          </cell>
          <cell r="H207">
            <v>159408921.92000002</v>
          </cell>
        </row>
        <row r="208">
          <cell r="E208">
            <v>130.81265595573313</v>
          </cell>
          <cell r="F208">
            <v>3118854318.7399998</v>
          </cell>
          <cell r="H208">
            <v>249508345.49919999</v>
          </cell>
        </row>
        <row r="209">
          <cell r="E209">
            <v>178.54794661962217</v>
          </cell>
          <cell r="F209">
            <v>3073059100.5699997</v>
          </cell>
          <cell r="H209">
            <v>245844728.04559997</v>
          </cell>
        </row>
        <row r="210">
          <cell r="E210">
            <v>375.15199999999999</v>
          </cell>
          <cell r="F210">
            <v>2911747104</v>
          </cell>
          <cell r="H210">
            <v>187576000</v>
          </cell>
        </row>
        <row r="214">
          <cell r="E214">
            <v>256.3</v>
          </cell>
          <cell r="F214">
            <v>3983414600</v>
          </cell>
          <cell r="H214">
            <v>73558100</v>
          </cell>
        </row>
        <row r="222">
          <cell r="E222">
            <v>393.31233141498944</v>
          </cell>
          <cell r="F222">
            <v>6853340680</v>
          </cell>
          <cell r="H222">
            <v>101564353</v>
          </cell>
        </row>
        <row r="225">
          <cell r="E225">
            <v>55.878949999999996</v>
          </cell>
          <cell r="F225">
            <v>865583350</v>
          </cell>
          <cell r="H225">
            <v>11162164.414414443</v>
          </cell>
        </row>
        <row r="230">
          <cell r="E230">
            <v>57.58</v>
          </cell>
          <cell r="F230">
            <v>1137808518</v>
          </cell>
          <cell r="H230">
            <v>45512340.719999999</v>
          </cell>
        </row>
        <row r="237">
          <cell r="E237">
            <v>7.5552099999999998</v>
          </cell>
          <cell r="F237">
            <v>169992225</v>
          </cell>
          <cell r="H237">
            <v>16621462</v>
          </cell>
        </row>
        <row r="238">
          <cell r="E238">
            <v>6.6690857278571434</v>
          </cell>
          <cell r="F238">
            <v>186734400.38</v>
          </cell>
          <cell r="H238">
            <v>9336720.0189999994</v>
          </cell>
        </row>
        <row r="239">
          <cell r="E239">
            <v>490.92646666666667</v>
          </cell>
          <cell r="F239">
            <v>1446682967.04</v>
          </cell>
          <cell r="H239">
            <v>179114338.104</v>
          </cell>
        </row>
        <row r="240">
          <cell r="E240">
            <v>268.8252</v>
          </cell>
          <cell r="F240">
            <v>2008330840</v>
          </cell>
          <cell r="H240">
            <v>80647560</v>
          </cell>
        </row>
        <row r="241">
          <cell r="E241">
            <v>3.68</v>
          </cell>
          <cell r="F241">
            <v>92000000</v>
          </cell>
          <cell r="H241">
            <v>7360000</v>
          </cell>
        </row>
        <row r="244">
          <cell r="E244">
            <v>521.62099999999998</v>
          </cell>
          <cell r="F244">
            <v>7857715582</v>
          </cell>
          <cell r="H244">
            <v>67112227</v>
          </cell>
        </row>
        <row r="245">
          <cell r="E245">
            <v>19.25</v>
          </cell>
          <cell r="F245">
            <v>362500000</v>
          </cell>
          <cell r="H245">
            <v>14822500</v>
          </cell>
        </row>
        <row r="252">
          <cell r="E252">
            <v>514.1254479079721</v>
          </cell>
          <cell r="F252">
            <v>7450149479</v>
          </cell>
          <cell r="H252">
            <v>110097525</v>
          </cell>
        </row>
        <row r="253">
          <cell r="E253">
            <v>45.774740000000008</v>
          </cell>
          <cell r="F253">
            <v>601611854.14414406</v>
          </cell>
          <cell r="H253">
            <v>39916200.106343284</v>
          </cell>
        </row>
        <row r="255">
          <cell r="E255">
            <v>34.309480000000001</v>
          </cell>
          <cell r="F255">
            <v>426577144.57657659</v>
          </cell>
          <cell r="H255">
            <v>22690401.531531543</v>
          </cell>
        </row>
        <row r="260">
          <cell r="E260">
            <v>92.58</v>
          </cell>
          <cell r="F260">
            <v>1759020000</v>
          </cell>
          <cell r="H260">
            <v>70360800</v>
          </cell>
        </row>
        <row r="261">
          <cell r="E261">
            <v>1487.0085714285713</v>
          </cell>
          <cell r="F261">
            <v>29384005191.219868</v>
          </cell>
          <cell r="H261">
            <v>1175360207.6487947</v>
          </cell>
        </row>
        <row r="266">
          <cell r="E266">
            <v>30.077869999999997</v>
          </cell>
          <cell r="F266">
            <v>676752075</v>
          </cell>
          <cell r="H266">
            <v>67675207.5</v>
          </cell>
        </row>
        <row r="268">
          <cell r="E268">
            <v>1044.07834</v>
          </cell>
          <cell r="F268">
            <v>2127346671.650001</v>
          </cell>
          <cell r="H268">
            <v>243675080</v>
          </cell>
        </row>
        <row r="269">
          <cell r="E269">
            <v>160.45097999999999</v>
          </cell>
          <cell r="F269">
            <v>1323303334</v>
          </cell>
          <cell r="H269">
            <v>160450979.99999997</v>
          </cell>
        </row>
        <row r="270">
          <cell r="E270">
            <v>57.719000000000001</v>
          </cell>
          <cell r="F270">
            <v>1591275000</v>
          </cell>
          <cell r="H270">
            <v>127302000</v>
          </cell>
        </row>
        <row r="273">
          <cell r="E273">
            <v>667.24199999999996</v>
          </cell>
          <cell r="F273">
            <v>10045995552</v>
          </cell>
          <cell r="H273">
            <v>84072492</v>
          </cell>
        </row>
        <row r="276">
          <cell r="E276">
            <v>46</v>
          </cell>
          <cell r="F276">
            <v>1018010244</v>
          </cell>
          <cell r="H276">
            <v>169668374</v>
          </cell>
        </row>
        <row r="281">
          <cell r="E281">
            <v>515.84041830966783</v>
          </cell>
          <cell r="F281">
            <v>8251561760</v>
          </cell>
          <cell r="H281">
            <v>121940255</v>
          </cell>
        </row>
        <row r="282">
          <cell r="E282">
            <v>40.009620000000005</v>
          </cell>
          <cell r="F282">
            <v>562353798.91891885</v>
          </cell>
          <cell r="H282">
            <v>33362108.396396331</v>
          </cell>
        </row>
        <row r="284">
          <cell r="E284">
            <v>15.6409</v>
          </cell>
          <cell r="F284">
            <v>170538212</v>
          </cell>
          <cell r="H284">
            <v>12704752.063063085</v>
          </cell>
        </row>
        <row r="289">
          <cell r="E289">
            <v>92.58</v>
          </cell>
          <cell r="F289">
            <v>1759020000</v>
          </cell>
          <cell r="H289">
            <v>70360800</v>
          </cell>
        </row>
        <row r="296">
          <cell r="E296">
            <v>14.094889999999999</v>
          </cell>
          <cell r="F296">
            <v>324271575</v>
          </cell>
          <cell r="H296">
            <v>16213578.75</v>
          </cell>
        </row>
        <row r="297">
          <cell r="E297">
            <v>83.296938310344814</v>
          </cell>
          <cell r="F297">
            <v>2296866061</v>
          </cell>
          <cell r="H297">
            <v>114843303.05000001</v>
          </cell>
        </row>
        <row r="298">
          <cell r="E298">
            <v>990.4454958419243</v>
          </cell>
          <cell r="F298">
            <v>6427112935.1999998</v>
          </cell>
          <cell r="H298">
            <v>321355646.75999999</v>
          </cell>
        </row>
        <row r="299">
          <cell r="E299">
            <v>99.936999999999998</v>
          </cell>
          <cell r="F299">
            <v>826596880</v>
          </cell>
          <cell r="H299">
            <v>41329844</v>
          </cell>
        </row>
        <row r="300">
          <cell r="E300">
            <v>16.645</v>
          </cell>
          <cell r="F300">
            <v>649999900.20000005</v>
          </cell>
          <cell r="H300">
            <v>32499995.010000005</v>
          </cell>
        </row>
        <row r="303">
          <cell r="E303">
            <v>1661.5340000000001</v>
          </cell>
          <cell r="F303">
            <v>25876909754</v>
          </cell>
          <cell r="H303">
            <v>537493249</v>
          </cell>
        </row>
        <row r="304">
          <cell r="E304">
            <v>38.5</v>
          </cell>
          <cell r="F304">
            <v>725000000</v>
          </cell>
          <cell r="H304">
            <v>29645000</v>
          </cell>
        </row>
        <row r="311">
          <cell r="E311">
            <v>551.0701478794889</v>
          </cell>
          <cell r="F311">
            <v>9685008368</v>
          </cell>
          <cell r="H311">
            <v>143026050</v>
          </cell>
        </row>
        <row r="312">
          <cell r="E312">
            <v>0.32471999999999995</v>
          </cell>
          <cell r="F312">
            <v>6335784</v>
          </cell>
          <cell r="H312">
            <v>1268216</v>
          </cell>
        </row>
        <row r="314">
          <cell r="E314">
            <v>95.913719999999998</v>
          </cell>
          <cell r="F314">
            <v>1223201807</v>
          </cell>
          <cell r="H314">
            <v>63037821</v>
          </cell>
        </row>
        <row r="319">
          <cell r="E319">
            <v>92.58</v>
          </cell>
          <cell r="F319">
            <v>1759020000</v>
          </cell>
          <cell r="H319">
            <v>70360800</v>
          </cell>
        </row>
        <row r="326">
          <cell r="E326">
            <v>40.568799999999996</v>
          </cell>
          <cell r="F326">
            <v>912798000</v>
          </cell>
          <cell r="H326">
            <v>81137599.999999985</v>
          </cell>
        </row>
        <row r="327">
          <cell r="E327">
            <v>105.96497575862068</v>
          </cell>
          <cell r="F327">
            <v>2986076694.7799997</v>
          </cell>
          <cell r="H327">
            <v>211929951.51724136</v>
          </cell>
        </row>
        <row r="328">
          <cell r="E328">
            <v>720.80480965517245</v>
          </cell>
          <cell r="F328">
            <v>3046398463.1999998</v>
          </cell>
          <cell r="H328">
            <v>12071183.051724151</v>
          </cell>
        </row>
        <row r="333">
          <cell r="E333">
            <v>125.092</v>
          </cell>
          <cell r="F333">
            <v>1965737708</v>
          </cell>
          <cell r="H333">
            <v>57476848</v>
          </cell>
        </row>
        <row r="334">
          <cell r="E334">
            <v>23.1</v>
          </cell>
          <cell r="F334">
            <v>375000000</v>
          </cell>
          <cell r="H334">
            <v>11250000</v>
          </cell>
        </row>
        <row r="336">
          <cell r="E336">
            <v>14</v>
          </cell>
          <cell r="F336">
            <v>2484963000</v>
          </cell>
          <cell r="H336">
            <v>333907000</v>
          </cell>
        </row>
        <row r="341">
          <cell r="E341">
            <v>486.86953429781335</v>
          </cell>
          <cell r="F341">
            <v>8722541056</v>
          </cell>
          <cell r="H341">
            <v>254210414</v>
          </cell>
        </row>
        <row r="342">
          <cell r="E342">
            <v>10.859459999999999</v>
          </cell>
          <cell r="F342">
            <v>148725197</v>
          </cell>
          <cell r="H342">
            <v>11290062</v>
          </cell>
        </row>
        <row r="349">
          <cell r="E349">
            <v>965.94000000000062</v>
          </cell>
          <cell r="F349">
            <v>18352860000.000011</v>
          </cell>
          <cell r="H349">
            <v>734114400.00000048</v>
          </cell>
        </row>
      </sheetData>
      <sheetData sheetId="3"/>
      <sheetData sheetId="4"/>
      <sheetData sheetId="5">
        <row r="5">
          <cell r="D5">
            <v>299.42000000000007</v>
          </cell>
          <cell r="E5">
            <v>299.42000000000007</v>
          </cell>
          <cell r="F5">
            <v>320.42000000000007</v>
          </cell>
          <cell r="G5">
            <v>445.42000000000007</v>
          </cell>
          <cell r="H5">
            <v>635.92000000000007</v>
          </cell>
          <cell r="I5">
            <v>878.92000000000007</v>
          </cell>
          <cell r="J5">
            <v>829.42000000000007</v>
          </cell>
          <cell r="K5">
            <v>1320</v>
          </cell>
          <cell r="L5">
            <v>1570</v>
          </cell>
          <cell r="M5">
            <v>1570</v>
          </cell>
          <cell r="N5">
            <v>1600.42</v>
          </cell>
          <cell r="O5">
            <v>1666.42</v>
          </cell>
        </row>
        <row r="6">
          <cell r="D6">
            <v>500</v>
          </cell>
          <cell r="E6">
            <v>500</v>
          </cell>
          <cell r="F6">
            <v>500</v>
          </cell>
          <cell r="G6">
            <v>500</v>
          </cell>
          <cell r="H6">
            <v>500</v>
          </cell>
          <cell r="I6">
            <v>500</v>
          </cell>
          <cell r="J6">
            <v>500</v>
          </cell>
          <cell r="K6">
            <v>500</v>
          </cell>
          <cell r="L6">
            <v>500</v>
          </cell>
          <cell r="M6">
            <v>500</v>
          </cell>
          <cell r="N6">
            <v>500</v>
          </cell>
          <cell r="O6">
            <v>500</v>
          </cell>
        </row>
        <row r="7">
          <cell r="D7">
            <v>543</v>
          </cell>
          <cell r="E7">
            <v>543</v>
          </cell>
          <cell r="F7">
            <v>522</v>
          </cell>
          <cell r="G7">
            <v>397</v>
          </cell>
          <cell r="H7">
            <v>456.5</v>
          </cell>
          <cell r="I7">
            <v>463.5</v>
          </cell>
          <cell r="J7">
            <v>513</v>
          </cell>
          <cell r="L7">
            <v>522</v>
          </cell>
          <cell r="M7">
            <v>522</v>
          </cell>
          <cell r="N7">
            <v>492</v>
          </cell>
          <cell r="O7">
            <v>426</v>
          </cell>
        </row>
        <row r="8">
          <cell r="D8">
            <v>157.58000000000001</v>
          </cell>
          <cell r="E8">
            <v>157.58000000000001</v>
          </cell>
          <cell r="F8">
            <v>157.58000000000001</v>
          </cell>
          <cell r="G8">
            <v>157.58000000000001</v>
          </cell>
          <cell r="H8">
            <v>157.58000000000001</v>
          </cell>
          <cell r="I8">
            <v>157.58000000000001</v>
          </cell>
          <cell r="J8">
            <v>157.58000000000001</v>
          </cell>
          <cell r="K8">
            <v>158</v>
          </cell>
          <cell r="L8">
            <v>158</v>
          </cell>
          <cell r="M8">
            <v>158</v>
          </cell>
          <cell r="N8">
            <v>157.58000000000001</v>
          </cell>
          <cell r="O8">
            <v>157.58000000000001</v>
          </cell>
        </row>
      </sheetData>
      <sheetData sheetId="6"/>
      <sheetData sheetId="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 AP#2"/>
    </sheetNames>
    <sheetDataSet>
      <sheetData sheetId="0"/>
      <sheetData sheetId="1">
        <row r="8">
          <cell r="E8">
            <v>55.184253571428577</v>
          </cell>
          <cell r="F8">
            <v>1247154075.02</v>
          </cell>
          <cell r="G8">
            <v>83530663.125</v>
          </cell>
        </row>
        <row r="9">
          <cell r="E9">
            <v>198.53577586206896</v>
          </cell>
          <cell r="F9">
            <v>5757537500</v>
          </cell>
          <cell r="G9">
            <v>287876875</v>
          </cell>
        </row>
        <row r="10">
          <cell r="E10">
            <v>2.1724722947368424</v>
          </cell>
          <cell r="F10">
            <v>41276973.600000001</v>
          </cell>
          <cell r="G10">
            <v>2063848.6799999997</v>
          </cell>
        </row>
        <row r="11">
          <cell r="E11">
            <v>594.88486315789464</v>
          </cell>
          <cell r="F11">
            <v>2244323194</v>
          </cell>
          <cell r="G11">
            <v>106585448.22831991</v>
          </cell>
        </row>
        <row r="12">
          <cell r="E12">
            <v>27.021450000000002</v>
          </cell>
          <cell r="F12">
            <v>401326743</v>
          </cell>
          <cell r="G12">
            <v>27021450</v>
          </cell>
        </row>
        <row r="13">
          <cell r="E13">
            <v>103.21899999999999</v>
          </cell>
          <cell r="F13">
            <v>1604254949</v>
          </cell>
          <cell r="G13">
            <v>29623853</v>
          </cell>
        </row>
        <row r="14">
          <cell r="E14">
            <v>38.5</v>
          </cell>
          <cell r="F14">
            <v>625000000</v>
          </cell>
          <cell r="G14">
            <v>31250000</v>
          </cell>
        </row>
        <row r="16">
          <cell r="E16">
            <v>378.07400621722854</v>
          </cell>
          <cell r="F16">
            <v>6620606340</v>
          </cell>
          <cell r="G16">
            <v>98429313</v>
          </cell>
        </row>
        <row r="19">
          <cell r="E19">
            <v>2.73</v>
          </cell>
          <cell r="F19">
            <v>32666620</v>
          </cell>
          <cell r="G19">
            <v>3026980</v>
          </cell>
        </row>
        <row r="20">
          <cell r="E20">
            <v>29.6968</v>
          </cell>
          <cell r="F20">
            <v>382616638</v>
          </cell>
          <cell r="G20">
            <v>20812242</v>
          </cell>
        </row>
      </sheetData>
      <sheetData sheetId="2"/>
      <sheetData sheetId="3"/>
      <sheetData sheetId="4">
        <row r="9">
          <cell r="E9">
            <v>605</v>
          </cell>
        </row>
        <row r="10">
          <cell r="E10">
            <v>150</v>
          </cell>
        </row>
        <row r="11">
          <cell r="E11">
            <v>450</v>
          </cell>
        </row>
        <row r="12">
          <cell r="E12">
            <v>225</v>
          </cell>
        </row>
      </sheetData>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 AP#2"/>
    </sheetNames>
    <sheetDataSet>
      <sheetData sheetId="0"/>
      <sheetData sheetId="1">
        <row r="8">
          <cell r="T8">
            <v>19.955779999999997</v>
          </cell>
        </row>
        <row r="9">
          <cell r="T9">
            <v>26.952999999999999</v>
          </cell>
        </row>
        <row r="11">
          <cell r="T11">
            <v>491.16742099999999</v>
          </cell>
        </row>
        <row r="12">
          <cell r="T12">
            <v>849.00599999999997</v>
          </cell>
        </row>
        <row r="13">
          <cell r="T13">
            <v>81.084000000000003</v>
          </cell>
        </row>
        <row r="15">
          <cell r="T15">
            <v>4</v>
          </cell>
        </row>
        <row r="16">
          <cell r="T16">
            <v>330.6720617977528</v>
          </cell>
        </row>
        <row r="19">
          <cell r="T19">
            <v>7.508</v>
          </cell>
        </row>
        <row r="21">
          <cell r="T21">
            <v>169.3</v>
          </cell>
        </row>
        <row r="22">
          <cell r="F22">
            <v>452791695</v>
          </cell>
          <cell r="G22">
            <v>29933670</v>
          </cell>
        </row>
        <row r="23">
          <cell r="F23">
            <v>510678491</v>
          </cell>
          <cell r="G23">
            <v>38300886.824999988</v>
          </cell>
        </row>
        <row r="25">
          <cell r="F25">
            <v>7461264685</v>
          </cell>
          <cell r="G25">
            <v>531432352.5</v>
          </cell>
        </row>
        <row r="26">
          <cell r="F26">
            <v>10942067592</v>
          </cell>
          <cell r="G26">
            <v>169801200</v>
          </cell>
        </row>
        <row r="27">
          <cell r="F27">
            <v>1260227364</v>
          </cell>
          <cell r="G27">
            <v>23271108</v>
          </cell>
        </row>
        <row r="29">
          <cell r="F29">
            <v>1978540000</v>
          </cell>
          <cell r="G29">
            <v>104143200</v>
          </cell>
        </row>
        <row r="30">
          <cell r="F30">
            <v>5690162179</v>
          </cell>
          <cell r="G30">
            <v>83498891</v>
          </cell>
        </row>
        <row r="33">
          <cell r="F33">
            <v>92712235</v>
          </cell>
          <cell r="G33">
            <v>8428451</v>
          </cell>
        </row>
        <row r="35">
          <cell r="F35">
            <v>2997173704</v>
          </cell>
          <cell r="G35">
            <v>119886948.16</v>
          </cell>
        </row>
      </sheetData>
      <sheetData sheetId="2"/>
      <sheetData sheetId="3"/>
      <sheetData sheetId="4">
        <row r="9">
          <cell r="F9">
            <v>605</v>
          </cell>
        </row>
        <row r="10">
          <cell r="F10">
            <v>250</v>
          </cell>
        </row>
        <row r="11">
          <cell r="F11">
            <v>450</v>
          </cell>
        </row>
        <row r="12">
          <cell r="F12">
            <v>225</v>
          </cell>
        </row>
      </sheetData>
      <sheetData sheetId="5"/>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 AP#2"/>
    </sheetNames>
    <sheetDataSet>
      <sheetData sheetId="0"/>
      <sheetData sheetId="1">
        <row r="37">
          <cell r="E37">
            <v>4.8</v>
          </cell>
          <cell r="F37">
            <v>90945600</v>
          </cell>
          <cell r="G37">
            <v>4547280</v>
          </cell>
        </row>
        <row r="39">
          <cell r="E39">
            <v>425.35668129032251</v>
          </cell>
          <cell r="F39">
            <v>6604813617</v>
          </cell>
          <cell r="G39">
            <v>530126720.8499999</v>
          </cell>
        </row>
        <row r="41">
          <cell r="E41">
            <v>159.84899999999999</v>
          </cell>
          <cell r="F41">
            <v>2489715449</v>
          </cell>
          <cell r="G41">
            <v>52424111</v>
          </cell>
        </row>
        <row r="42">
          <cell r="E42">
            <v>19.25</v>
          </cell>
          <cell r="F42">
            <v>312500000</v>
          </cell>
          <cell r="G42">
            <v>15625000</v>
          </cell>
        </row>
        <row r="44">
          <cell r="E44">
            <v>216.92221810205456</v>
          </cell>
          <cell r="F44">
            <v>4082379212</v>
          </cell>
          <cell r="G44">
            <v>60306221</v>
          </cell>
        </row>
        <row r="47">
          <cell r="E47">
            <v>7.7024999999999997</v>
          </cell>
          <cell r="F47">
            <v>110600000</v>
          </cell>
          <cell r="G47">
            <v>14163063.063063074</v>
          </cell>
        </row>
      </sheetData>
      <sheetData sheetId="2"/>
      <sheetData sheetId="3"/>
      <sheetData sheetId="4">
        <row r="9">
          <cell r="G9">
            <v>705</v>
          </cell>
        </row>
        <row r="10">
          <cell r="G10">
            <v>575</v>
          </cell>
        </row>
        <row r="11">
          <cell r="G11">
            <v>450</v>
          </cell>
        </row>
        <row r="12">
          <cell r="G12">
            <v>250</v>
          </cell>
        </row>
      </sheetData>
      <sheetData sheetId="5"/>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 AP#2"/>
    </sheetNames>
    <sheetDataSet>
      <sheetData sheetId="0" refreshError="1"/>
      <sheetData sheetId="1" refreshError="1">
        <row r="51">
          <cell r="E51">
            <v>175.17462012697192</v>
          </cell>
          <cell r="F51">
            <v>4552788377.1000004</v>
          </cell>
          <cell r="G51">
            <v>262761930.1904583</v>
          </cell>
        </row>
        <row r="53">
          <cell r="E53">
            <v>476.13958736842102</v>
          </cell>
          <cell r="F53">
            <v>7979118774</v>
          </cell>
          <cell r="G53">
            <v>573011393.6842103</v>
          </cell>
        </row>
        <row r="58">
          <cell r="E58">
            <v>284.70317705086131</v>
          </cell>
          <cell r="F58">
            <v>5352419728.5561924</v>
          </cell>
          <cell r="G58">
            <v>80286295.928342879</v>
          </cell>
        </row>
        <row r="61">
          <cell r="E61">
            <v>32.713560000000001</v>
          </cell>
          <cell r="F61">
            <v>469733169.23076928</v>
          </cell>
          <cell r="G61">
            <v>46973316.923076928</v>
          </cell>
        </row>
      </sheetData>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 AP#2"/>
    </sheetNames>
    <sheetDataSet>
      <sheetData sheetId="0"/>
      <sheetData sheetId="1">
        <row r="55">
          <cell r="E55">
            <v>0</v>
          </cell>
          <cell r="F55">
            <v>0</v>
          </cell>
          <cell r="G55">
            <v>0</v>
          </cell>
        </row>
        <row r="56">
          <cell r="E56">
            <v>0</v>
          </cell>
          <cell r="F56">
            <v>0</v>
          </cell>
          <cell r="G56">
            <v>0</v>
          </cell>
        </row>
        <row r="57">
          <cell r="E57">
            <v>0</v>
          </cell>
        </row>
      </sheetData>
      <sheetData sheetId="2"/>
      <sheetData sheetId="3"/>
      <sheetData sheetId="4"/>
      <sheetData sheetId="5"/>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 AP#2"/>
    </sheetNames>
    <sheetDataSet>
      <sheetData sheetId="0"/>
      <sheetData sheetId="1">
        <row r="67">
          <cell r="E67">
            <v>577.33724210526316</v>
          </cell>
          <cell r="F67">
            <v>9294762864.512001</v>
          </cell>
          <cell r="G67">
            <v>675992403.92559981</v>
          </cell>
        </row>
        <row r="69">
          <cell r="E69">
            <v>456</v>
          </cell>
          <cell r="F69">
            <v>8396014800</v>
          </cell>
          <cell r="G69">
            <v>113346199.80000001</v>
          </cell>
        </row>
        <row r="70">
          <cell r="E70">
            <v>7.7</v>
          </cell>
          <cell r="F70">
            <v>125001800</v>
          </cell>
          <cell r="G70">
            <v>585200</v>
          </cell>
        </row>
        <row r="72">
          <cell r="E72">
            <v>287.34297729308145</v>
          </cell>
          <cell r="F72">
            <v>4818241221.4438095</v>
          </cell>
          <cell r="G72">
            <v>69997872.071657121</v>
          </cell>
        </row>
        <row r="75">
          <cell r="E75">
            <v>0.88500000000000001</v>
          </cell>
          <cell r="F75">
            <v>-16043042.230769277</v>
          </cell>
          <cell r="G75">
            <v>-5240396.9951490052</v>
          </cell>
        </row>
      </sheetData>
      <sheetData sheetId="2"/>
      <sheetData sheetId="3"/>
      <sheetData sheetId="4"/>
      <sheetData sheetId="5"/>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 AP#2"/>
    </sheetNames>
    <sheetDataSet>
      <sheetData sheetId="0"/>
      <sheetData sheetId="1">
        <row r="78">
          <cell r="E78">
            <v>8.8680000000000003</v>
          </cell>
          <cell r="F78">
            <v>202312064.06</v>
          </cell>
          <cell r="G78">
            <v>13302000</v>
          </cell>
        </row>
        <row r="79">
          <cell r="E79">
            <v>205.05850590769228</v>
          </cell>
          <cell r="F79">
            <v>6664401442</v>
          </cell>
          <cell r="G79">
            <v>333220072.10000008</v>
          </cell>
        </row>
        <row r="80">
          <cell r="E80">
            <v>138</v>
          </cell>
          <cell r="F80">
            <v>3819060000</v>
          </cell>
          <cell r="G80">
            <v>114571800</v>
          </cell>
        </row>
        <row r="81">
          <cell r="E81">
            <v>329.3264342857143</v>
          </cell>
          <cell r="F81">
            <v>4648120729.4499998</v>
          </cell>
          <cell r="G81">
            <v>299278517.52750003</v>
          </cell>
        </row>
        <row r="83">
          <cell r="E83">
            <v>262.03500000000003</v>
          </cell>
          <cell r="F83">
            <v>5316840739</v>
          </cell>
          <cell r="G83">
            <v>65246715</v>
          </cell>
        </row>
        <row r="86">
          <cell r="E86">
            <v>216.82995956747564</v>
          </cell>
          <cell r="F86">
            <v>3786322262</v>
          </cell>
          <cell r="G86">
            <v>55901376</v>
          </cell>
        </row>
        <row r="89">
          <cell r="E89">
            <v>23.15814</v>
          </cell>
          <cell r="F89">
            <v>325919258</v>
          </cell>
          <cell r="G89">
            <v>51886375.117117152</v>
          </cell>
        </row>
        <row r="91">
          <cell r="E91">
            <v>355</v>
          </cell>
          <cell r="F91">
            <v>7796908600</v>
          </cell>
          <cell r="G91">
            <v>311876344</v>
          </cell>
        </row>
      </sheetData>
      <sheetData sheetId="2"/>
      <sheetData sheetId="3"/>
      <sheetData sheetId="4"/>
      <sheetData sheetId="5"/>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 AP#2"/>
    </sheetNames>
    <sheetDataSet>
      <sheetData sheetId="0"/>
      <sheetData sheetId="1">
        <row r="92">
          <cell r="E92">
            <v>78.16986</v>
          </cell>
          <cell r="F92">
            <v>1783050180</v>
          </cell>
          <cell r="G92">
            <v>178305018</v>
          </cell>
        </row>
        <row r="93">
          <cell r="E93">
            <v>280.17602720459905</v>
          </cell>
          <cell r="F93">
            <v>6830823108</v>
          </cell>
          <cell r="G93">
            <v>351541155.39999998</v>
          </cell>
        </row>
        <row r="94">
          <cell r="E94">
            <v>182.33786377358487</v>
          </cell>
          <cell r="F94">
            <v>5790786500</v>
          </cell>
          <cell r="G94">
            <v>579078650</v>
          </cell>
        </row>
        <row r="95">
          <cell r="E95">
            <v>170.19059336484534</v>
          </cell>
          <cell r="F95">
            <v>3898229568.3600006</v>
          </cell>
          <cell r="G95">
            <v>224534111.89999998</v>
          </cell>
        </row>
        <row r="97">
          <cell r="E97">
            <v>183.4</v>
          </cell>
          <cell r="F97">
            <v>3644001096</v>
          </cell>
          <cell r="G97">
            <v>45666600</v>
          </cell>
        </row>
        <row r="98">
          <cell r="E98">
            <v>19.25</v>
          </cell>
          <cell r="F98">
            <v>312500000</v>
          </cell>
          <cell r="G98">
            <v>1463000</v>
          </cell>
        </row>
        <row r="100">
          <cell r="E100">
            <v>320.02545850000001</v>
          </cell>
          <cell r="F100">
            <v>5529247314.4419346</v>
          </cell>
          <cell r="G100">
            <v>81713015.039681852</v>
          </cell>
        </row>
        <row r="103">
          <cell r="E103">
            <v>17.55</v>
          </cell>
          <cell r="F103">
            <v>204324300</v>
          </cell>
          <cell r="G103">
            <v>26756732.540540546</v>
          </cell>
        </row>
        <row r="104">
          <cell r="E104">
            <v>6.8884799999999995</v>
          </cell>
          <cell r="F104">
            <v>115137960</v>
          </cell>
          <cell r="G104">
            <v>16186608.648648657</v>
          </cell>
        </row>
        <row r="105">
          <cell r="E105">
            <v>0</v>
          </cell>
          <cell r="F105">
            <v>0</v>
          </cell>
          <cell r="G105">
            <v>0</v>
          </cell>
        </row>
      </sheetData>
      <sheetData sheetId="2"/>
      <sheetData sheetId="3"/>
      <sheetData sheetId="4"/>
      <sheetData sheetId="5"/>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 AP#2"/>
    </sheetNames>
    <sheetDataSet>
      <sheetData sheetId="0"/>
      <sheetData sheetId="1">
        <row r="106">
          <cell r="E106">
            <v>84.387</v>
          </cell>
          <cell r="F106">
            <v>1887079399.0000002</v>
          </cell>
          <cell r="G106">
            <v>185651400</v>
          </cell>
        </row>
        <row r="107">
          <cell r="E107">
            <v>323.55846695428875</v>
          </cell>
          <cell r="F107">
            <v>10079582168.869999</v>
          </cell>
          <cell r="G107">
            <v>785536447.56372833</v>
          </cell>
        </row>
        <row r="108">
          <cell r="E108">
            <v>12.4</v>
          </cell>
          <cell r="F108">
            <v>395000000</v>
          </cell>
          <cell r="G108">
            <v>18600000</v>
          </cell>
        </row>
        <row r="109">
          <cell r="E109">
            <v>241.12795</v>
          </cell>
          <cell r="F109">
            <v>3373324244.7000008</v>
          </cell>
          <cell r="G109">
            <v>252730837.5</v>
          </cell>
        </row>
        <row r="111">
          <cell r="E111">
            <v>258</v>
          </cell>
          <cell r="F111">
            <v>5126239273.5441656</v>
          </cell>
          <cell r="G111">
            <v>66641110.556074157</v>
          </cell>
        </row>
        <row r="114">
          <cell r="E114">
            <v>327.17774383357948</v>
          </cell>
          <cell r="F114">
            <v>5677999638.7287912</v>
          </cell>
          <cell r="G114">
            <v>83911324.71027714</v>
          </cell>
        </row>
        <row r="119">
          <cell r="E119">
            <v>0</v>
          </cell>
          <cell r="F119">
            <v>0</v>
          </cell>
          <cell r="G119">
            <v>0</v>
          </cell>
        </row>
      </sheetData>
      <sheetData sheetId="2"/>
      <sheetData sheetId="3"/>
      <sheetData sheetId="4"/>
      <sheetData sheetId="5"/>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 AP#2"/>
    </sheetNames>
    <sheetDataSet>
      <sheetData sheetId="0"/>
      <sheetData sheetId="1">
        <row r="120">
          <cell r="E120">
            <v>26.585999999999999</v>
          </cell>
          <cell r="F120">
            <v>582399258.89999998</v>
          </cell>
          <cell r="G120">
            <v>66465000</v>
          </cell>
        </row>
        <row r="121">
          <cell r="E121">
            <v>233.27564771368111</v>
          </cell>
          <cell r="F121">
            <v>9337062842.5</v>
          </cell>
          <cell r="G121">
            <v>1167009554.4378757</v>
          </cell>
        </row>
        <row r="122">
          <cell r="E122">
            <v>0.6199968607753884</v>
          </cell>
          <cell r="F122">
            <v>296250000</v>
          </cell>
          <cell r="G122">
            <v>929995.29116308689</v>
          </cell>
        </row>
        <row r="123">
          <cell r="E123">
            <v>34.688749999999999</v>
          </cell>
          <cell r="F123">
            <v>-1110997064.4000001</v>
          </cell>
          <cell r="G123">
            <v>-28385012.035609722</v>
          </cell>
        </row>
        <row r="125">
          <cell r="E125">
            <v>671.55</v>
          </cell>
          <cell r="F125">
            <v>12855079083.783783</v>
          </cell>
          <cell r="G125">
            <v>167215950</v>
          </cell>
        </row>
        <row r="128">
          <cell r="E128">
            <v>368.10221621066449</v>
          </cell>
          <cell r="F128">
            <v>6470696029.0211668</v>
          </cell>
          <cell r="G128">
            <v>95626049.689967379</v>
          </cell>
        </row>
        <row r="131">
          <cell r="E131">
            <v>10.363800000000001</v>
          </cell>
          <cell r="F131">
            <v>141185960</v>
          </cell>
          <cell r="G131">
            <v>4910960</v>
          </cell>
        </row>
        <row r="133">
          <cell r="E133">
            <v>0</v>
          </cell>
          <cell r="F133">
            <v>0</v>
          </cell>
          <cell r="G133">
            <v>0</v>
          </cell>
        </row>
      </sheetData>
      <sheetData sheetId="2"/>
      <sheetData sheetId="3"/>
      <sheetData sheetId="4"/>
      <sheetData sheetId="5"/>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bandingan"/>
      <sheetName val="Per AP#2"/>
    </sheetNames>
    <sheetDataSet>
      <sheetData sheetId="0"/>
      <sheetData sheetId="1">
        <row r="135">
          <cell r="E135">
            <v>323.13863622334839</v>
          </cell>
          <cell r="F135">
            <v>8379050520</v>
          </cell>
          <cell r="G135">
            <v>946654045.74411035</v>
          </cell>
        </row>
        <row r="136">
          <cell r="E136">
            <v>23.087599999999998</v>
          </cell>
          <cell r="F136">
            <v>648000000</v>
          </cell>
          <cell r="G136">
            <v>34631400</v>
          </cell>
        </row>
        <row r="137">
          <cell r="E137">
            <v>338.54515190476189</v>
          </cell>
          <cell r="F137">
            <v>4842312686.3544006</v>
          </cell>
          <cell r="G137">
            <v>739660471.40476191</v>
          </cell>
        </row>
        <row r="138">
          <cell r="E138">
            <v>989.19540000000006</v>
          </cell>
          <cell r="F138">
            <v>12599859813.66</v>
          </cell>
          <cell r="G138">
            <v>989195400.00000012</v>
          </cell>
        </row>
        <row r="139">
          <cell r="E139">
            <v>93.2</v>
          </cell>
          <cell r="F139">
            <v>1669570231.5315313</v>
          </cell>
          <cell r="G139">
            <v>23206800</v>
          </cell>
        </row>
        <row r="142">
          <cell r="E142">
            <v>437.0455525669127</v>
          </cell>
          <cell r="F142">
            <v>7382923507.3509998</v>
          </cell>
          <cell r="G142">
            <v>109107243.95099926</v>
          </cell>
        </row>
        <row r="147">
          <cell r="E147">
            <v>0</v>
          </cell>
          <cell r="F147">
            <v>0</v>
          </cell>
          <cell r="G147">
            <v>0</v>
          </cell>
        </row>
      </sheetData>
      <sheetData sheetId="2"/>
      <sheetData sheetId="3"/>
      <sheetData sheetId="4"/>
      <sheetData sheetId="5"/>
      <sheetData sheetId="6"/>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bandingan"/>
      <sheetName val="Per AP#2"/>
    </sheetNames>
    <sheetDataSet>
      <sheetData sheetId="0"/>
      <sheetData sheetId="1">
        <row r="148">
          <cell r="E148">
            <v>25.231710000000003</v>
          </cell>
          <cell r="F148">
            <v>458643713.60000002</v>
          </cell>
          <cell r="G148">
            <v>50463420</v>
          </cell>
        </row>
        <row r="149">
          <cell r="E149">
            <v>295.88666590826489</v>
          </cell>
          <cell r="F149">
            <v>10547132814.070002</v>
          </cell>
          <cell r="G149">
            <v>701845649.97499418</v>
          </cell>
        </row>
        <row r="150">
          <cell r="E150">
            <v>34.631399999999999</v>
          </cell>
          <cell r="F150">
            <v>972000000</v>
          </cell>
          <cell r="G150">
            <v>51947100</v>
          </cell>
        </row>
        <row r="151">
          <cell r="E151">
            <v>300.52264526315793</v>
          </cell>
          <cell r="F151">
            <v>5074196168.1599998</v>
          </cell>
          <cell r="G151">
            <v>623362922.63157892</v>
          </cell>
        </row>
        <row r="153">
          <cell r="E153">
            <v>100</v>
          </cell>
          <cell r="F153">
            <v>1791384368.5960636</v>
          </cell>
          <cell r="G153">
            <v>25079381.160344888</v>
          </cell>
        </row>
        <row r="156">
          <cell r="E156">
            <v>364.24962726004924</v>
          </cell>
          <cell r="F156">
            <v>5986983513.9196606</v>
          </cell>
          <cell r="G156">
            <v>88477588.875659451</v>
          </cell>
        </row>
        <row r="159">
          <cell r="E159">
            <v>1.518</v>
          </cell>
          <cell r="F159">
            <v>20996884</v>
          </cell>
          <cell r="G159">
            <v>2749139.8558558561</v>
          </cell>
        </row>
        <row r="161">
          <cell r="E161">
            <v>0</v>
          </cell>
          <cell r="F161">
            <v>0</v>
          </cell>
          <cell r="G161">
            <v>0</v>
          </cell>
        </row>
      </sheetData>
      <sheetData sheetId="2"/>
      <sheetData sheetId="3"/>
      <sheetData sheetId="4"/>
      <sheetData sheetId="5"/>
      <sheetData sheetId="6"/>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4"/>
      <sheetName val="Perbandingan"/>
      <sheetName val="Per AP#2"/>
    </sheetNames>
    <sheetDataSet>
      <sheetData sheetId="0" refreshError="1"/>
      <sheetData sheetId="1">
        <row r="162">
          <cell r="E162">
            <v>16.001999999999999</v>
          </cell>
          <cell r="F162">
            <v>368046000</v>
          </cell>
          <cell r="G162">
            <v>40005000</v>
          </cell>
        </row>
        <row r="163">
          <cell r="E163">
            <v>-35.893562918020301</v>
          </cell>
          <cell r="F163">
            <v>-834499774.4000001</v>
          </cell>
          <cell r="G163">
            <v>-100729977.44000001</v>
          </cell>
        </row>
        <row r="164">
          <cell r="E164">
            <v>9.3000000000000007</v>
          </cell>
          <cell r="F164">
            <v>296250000</v>
          </cell>
          <cell r="G164">
            <v>23250000</v>
          </cell>
        </row>
        <row r="165">
          <cell r="E165">
            <v>1251.1953057602341</v>
          </cell>
          <cell r="F165">
            <v>19543470383.450005</v>
          </cell>
          <cell r="G165">
            <v>2556508408.8625731</v>
          </cell>
        </row>
        <row r="167">
          <cell r="E167">
            <v>194</v>
          </cell>
          <cell r="F167">
            <v>3387374277</v>
          </cell>
          <cell r="G167">
            <v>48343350</v>
          </cell>
        </row>
        <row r="170">
          <cell r="E170">
            <v>376.60138737079581</v>
          </cell>
          <cell r="F170">
            <v>6353009269.411768</v>
          </cell>
          <cell r="G170">
            <v>93886837.013138741</v>
          </cell>
        </row>
      </sheetData>
      <sheetData sheetId="2" refreshError="1"/>
      <sheetData sheetId="3" refreshError="1"/>
      <sheetData sheetId="4" refreshError="1"/>
      <sheetData sheetId="5" refreshError="1"/>
      <sheetData sheetId="6"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Steel Based Product"/>
      <sheetName val="Realisasi Hilirisasi"/>
      <sheetName val="Resume"/>
      <sheetName val="Per AP"/>
      <sheetName val="Target Hilirisasi 2025"/>
      <sheetName val="Perbandingan"/>
      <sheetName val="Per AP#2"/>
    </sheetNames>
    <sheetDataSet>
      <sheetData sheetId="0"/>
      <sheetData sheetId="1">
        <row r="8">
          <cell r="E8">
            <v>12.229940000000001</v>
          </cell>
          <cell r="F8">
            <v>274014772</v>
          </cell>
          <cell r="G8">
            <v>24459880</v>
          </cell>
        </row>
        <row r="9">
          <cell r="E9">
            <v>20.283999999999999</v>
          </cell>
          <cell r="F9">
            <v>507100000</v>
          </cell>
          <cell r="G9">
            <v>25355000</v>
          </cell>
        </row>
        <row r="10">
          <cell r="E10">
            <v>9.3000000000000007</v>
          </cell>
          <cell r="F10">
            <v>296250000</v>
          </cell>
          <cell r="G10">
            <v>13950000</v>
          </cell>
        </row>
        <row r="11">
          <cell r="E11">
            <v>101.51039999999999</v>
          </cell>
          <cell r="F11">
            <v>2244321462.48</v>
          </cell>
          <cell r="G11">
            <v>199428000</v>
          </cell>
        </row>
        <row r="13">
          <cell r="E13">
            <v>64</v>
          </cell>
          <cell r="F13">
            <v>979039135</v>
          </cell>
          <cell r="G13">
            <v>15861300</v>
          </cell>
        </row>
        <row r="16">
          <cell r="E16">
            <v>271.52937878878834</v>
          </cell>
          <cell r="F16">
            <v>4539854682.4099998</v>
          </cell>
          <cell r="G16">
            <v>68097820.236149997</v>
          </cell>
        </row>
        <row r="19">
          <cell r="E19">
            <v>1.6759999999999999</v>
          </cell>
          <cell r="F19">
            <v>25936100</v>
          </cell>
          <cell r="G19">
            <v>5690020</v>
          </cell>
        </row>
        <row r="20">
          <cell r="E20">
            <v>71.335070000000002</v>
          </cell>
          <cell r="F20">
            <v>912630684.75</v>
          </cell>
          <cell r="G20">
            <v>44877780.506400011</v>
          </cell>
        </row>
        <row r="23">
          <cell r="E23">
            <v>605.49787671710533</v>
          </cell>
          <cell r="F23">
            <v>12675111281</v>
          </cell>
          <cell r="G23">
            <v>605497876.71710527</v>
          </cell>
        </row>
        <row r="24">
          <cell r="E24">
            <v>12.4</v>
          </cell>
          <cell r="F24">
            <v>395000000</v>
          </cell>
          <cell r="G24">
            <v>12400000</v>
          </cell>
        </row>
        <row r="25">
          <cell r="E25">
            <v>164.10285789473687</v>
          </cell>
          <cell r="F25">
            <v>2438531118.8000002</v>
          </cell>
          <cell r="G25">
            <v>356298157.89473683</v>
          </cell>
        </row>
        <row r="27">
          <cell r="E27">
            <v>194</v>
          </cell>
          <cell r="F27">
            <v>3350711687</v>
          </cell>
          <cell r="G27">
            <v>48398130</v>
          </cell>
        </row>
        <row r="29">
          <cell r="E29">
            <v>101</v>
          </cell>
          <cell r="F29">
            <v>7914861631</v>
          </cell>
          <cell r="G29">
            <v>2642350040</v>
          </cell>
        </row>
        <row r="30">
          <cell r="E30">
            <v>998</v>
          </cell>
          <cell r="F30">
            <v>14078574228</v>
          </cell>
          <cell r="G30">
            <v>2994405000</v>
          </cell>
        </row>
        <row r="31">
          <cell r="E31">
            <v>216.95636244011487</v>
          </cell>
          <cell r="F31">
            <v>3717059850.6862583</v>
          </cell>
          <cell r="G31">
            <v>54931918.975658618</v>
          </cell>
        </row>
        <row r="34">
          <cell r="E34">
            <v>3.0649999999999999</v>
          </cell>
          <cell r="F34">
            <v>38651610</v>
          </cell>
          <cell r="G34">
            <v>3514189</v>
          </cell>
        </row>
        <row r="35">
          <cell r="E35">
            <v>128.02979999999999</v>
          </cell>
          <cell r="F35">
            <v>1888065028</v>
          </cell>
          <cell r="G35">
            <v>195964576</v>
          </cell>
        </row>
        <row r="37">
          <cell r="E37">
            <v>27.303619999999995</v>
          </cell>
          <cell r="F37">
            <v>646391564</v>
          </cell>
          <cell r="G37">
            <v>54607240</v>
          </cell>
        </row>
        <row r="38">
          <cell r="E38">
            <v>150.33570078124998</v>
          </cell>
          <cell r="F38">
            <v>2588842425</v>
          </cell>
          <cell r="G38">
            <v>164116042.5</v>
          </cell>
        </row>
        <row r="40">
          <cell r="E40">
            <v>503.70380526315796</v>
          </cell>
          <cell r="F40">
            <v>3577819941.8000002</v>
          </cell>
          <cell r="G40">
            <v>449621928.29000002</v>
          </cell>
        </row>
        <row r="42">
          <cell r="E42">
            <v>366</v>
          </cell>
          <cell r="F42">
            <v>6906941243.636363</v>
          </cell>
          <cell r="G42">
            <v>91035894</v>
          </cell>
        </row>
        <row r="45">
          <cell r="E45">
            <v>271.65959426004923</v>
          </cell>
          <cell r="F45">
            <v>4546252283.4891777</v>
          </cell>
          <cell r="G45">
            <v>67185994.337278053</v>
          </cell>
        </row>
        <row r="49">
          <cell r="E49">
            <v>95.381</v>
          </cell>
          <cell r="F49">
            <v>1482950365</v>
          </cell>
          <cell r="G49">
            <v>170307198</v>
          </cell>
        </row>
        <row r="52">
          <cell r="E52">
            <v>183.98029621875</v>
          </cell>
          <cell r="F52">
            <v>5887369479</v>
          </cell>
          <cell r="G52">
            <v>470989558.31999969</v>
          </cell>
        </row>
        <row r="54">
          <cell r="E54">
            <v>24.8064</v>
          </cell>
          <cell r="F54">
            <v>406328100</v>
          </cell>
          <cell r="G54">
            <v>59495999.99999994</v>
          </cell>
        </row>
        <row r="56">
          <cell r="E56">
            <v>80.334000000000003</v>
          </cell>
          <cell r="F56">
            <v>1414151180.9090908</v>
          </cell>
          <cell r="G56">
            <v>20003166</v>
          </cell>
        </row>
        <row r="60">
          <cell r="E60">
            <v>181.28800049999998</v>
          </cell>
          <cell r="F60">
            <v>3083249412.1261697</v>
          </cell>
          <cell r="G60">
            <v>45565262.248169653</v>
          </cell>
        </row>
        <row r="64">
          <cell r="E64">
            <v>5.6553500000000003</v>
          </cell>
          <cell r="F64">
            <v>79321052</v>
          </cell>
          <cell r="G64">
            <v>-2500080</v>
          </cell>
        </row>
        <row r="66">
          <cell r="E66">
            <v>7.5430000000000001</v>
          </cell>
          <cell r="F66">
            <v>180656240</v>
          </cell>
          <cell r="G66">
            <v>14524800</v>
          </cell>
        </row>
        <row r="67">
          <cell r="E67">
            <v>215.66829842499999</v>
          </cell>
          <cell r="F67">
            <v>9058068533.8499985</v>
          </cell>
          <cell r="G67">
            <v>452903426.69250005</v>
          </cell>
        </row>
        <row r="69">
          <cell r="E69">
            <v>369.6506</v>
          </cell>
          <cell r="F69">
            <v>3135625600</v>
          </cell>
          <cell r="G69">
            <v>205693360.00000024</v>
          </cell>
        </row>
        <row r="71">
          <cell r="E71">
            <v>144.71799999999999</v>
          </cell>
          <cell r="F71">
            <v>2605579451.8181815</v>
          </cell>
          <cell r="G71">
            <v>36034782</v>
          </cell>
        </row>
        <row r="74">
          <cell r="E74">
            <v>1494.181</v>
          </cell>
          <cell r="F74">
            <v>18780411873</v>
          </cell>
          <cell r="G74">
            <v>2594406960</v>
          </cell>
        </row>
        <row r="75">
          <cell r="E75">
            <v>256.89910250000003</v>
          </cell>
          <cell r="F75">
            <v>4249173173.3239603</v>
          </cell>
          <cell r="G75">
            <v>62795662.65995954</v>
          </cell>
        </row>
        <row r="82">
          <cell r="E82">
            <v>-90.577072725000022</v>
          </cell>
          <cell r="F82">
            <v>-2536158036.2999992</v>
          </cell>
          <cell r="G82">
            <v>-211107643.23500058</v>
          </cell>
        </row>
        <row r="84">
          <cell r="E84">
            <v>16.5624</v>
          </cell>
          <cell r="F84">
            <v>291067960</v>
          </cell>
          <cell r="G84">
            <v>183704400</v>
          </cell>
        </row>
        <row r="86">
          <cell r="E86">
            <v>362.84199999999998</v>
          </cell>
          <cell r="F86">
            <v>6498272224.545454</v>
          </cell>
          <cell r="G86">
            <v>90347658</v>
          </cell>
        </row>
        <row r="89">
          <cell r="E89">
            <v>501.43200000000002</v>
          </cell>
          <cell r="F89">
            <v>5337262476</v>
          </cell>
          <cell r="G89">
            <v>200572800</v>
          </cell>
        </row>
        <row r="90">
          <cell r="E90">
            <v>246.90428538022971</v>
          </cell>
          <cell r="F90">
            <v>4106649798.1878486</v>
          </cell>
          <cell r="G90">
            <v>60689405.884549074</v>
          </cell>
        </row>
        <row r="97">
          <cell r="E97">
            <v>143.38989114285715</v>
          </cell>
          <cell r="F97">
            <v>5078871190</v>
          </cell>
          <cell r="G97">
            <v>20287500</v>
          </cell>
        </row>
        <row r="99">
          <cell r="E99">
            <v>263.46837799999986</v>
          </cell>
          <cell r="F99">
            <v>2314560686.7012987</v>
          </cell>
          <cell r="G99">
            <v>-291266995.29869914</v>
          </cell>
        </row>
        <row r="101">
          <cell r="E101">
            <v>300</v>
          </cell>
          <cell r="F101">
            <v>5372811491.9541731</v>
          </cell>
          <cell r="G101">
            <v>74700000</v>
          </cell>
        </row>
        <row r="105">
          <cell r="E105">
            <v>377.35490148954051</v>
          </cell>
          <cell r="F105">
            <v>6333201932.7659922</v>
          </cell>
          <cell r="G105">
            <v>93594117.232994378</v>
          </cell>
        </row>
        <row r="109">
          <cell r="E109">
            <v>57.728999999999999</v>
          </cell>
          <cell r="F109">
            <v>640466361</v>
          </cell>
          <cell r="G109">
            <v>28699446</v>
          </cell>
        </row>
        <row r="112">
          <cell r="E112">
            <v>102.66652509375</v>
          </cell>
          <cell r="F112">
            <v>3285328803</v>
          </cell>
          <cell r="G112">
            <v>-394239456.36000013</v>
          </cell>
        </row>
        <row r="114">
          <cell r="E114">
            <v>143.22262999999998</v>
          </cell>
          <cell r="F114">
            <v>1974373708.2793999</v>
          </cell>
          <cell r="G114">
            <v>-201628687.72059989</v>
          </cell>
        </row>
        <row r="116">
          <cell r="E116">
            <v>260.53300000000002</v>
          </cell>
          <cell r="F116">
            <v>4645302037</v>
          </cell>
          <cell r="G116">
            <v>750071154</v>
          </cell>
        </row>
        <row r="118">
          <cell r="E118">
            <v>11</v>
          </cell>
          <cell r="F118">
            <v>862500000</v>
          </cell>
          <cell r="G118">
            <v>112500000</v>
          </cell>
        </row>
        <row r="119">
          <cell r="E119">
            <v>1069</v>
          </cell>
          <cell r="F119">
            <v>10913656034</v>
          </cell>
          <cell r="G119">
            <v>427600000</v>
          </cell>
        </row>
        <row r="120">
          <cell r="E120">
            <v>385.53194830024609</v>
          </cell>
          <cell r="F120">
            <v>6474299547.5453062</v>
          </cell>
          <cell r="G120">
            <v>6378620243.887001</v>
          </cell>
        </row>
        <row r="123">
          <cell r="E123">
            <v>0.89739999999999998</v>
          </cell>
          <cell r="F123">
            <v>10510348.799999999</v>
          </cell>
          <cell r="G123">
            <v>8576451.7999999989</v>
          </cell>
        </row>
        <row r="124">
          <cell r="E124">
            <v>273.20965000000001</v>
          </cell>
          <cell r="F124">
            <v>3693553689.8099999</v>
          </cell>
          <cell r="G124">
            <v>3586803090.1399999</v>
          </cell>
        </row>
        <row r="127">
          <cell r="E127">
            <v>56.323</v>
          </cell>
          <cell r="F127">
            <v>2511505257</v>
          </cell>
          <cell r="G127">
            <v>252873761.93000007</v>
          </cell>
        </row>
        <row r="129">
          <cell r="E129">
            <v>475.58639999999997</v>
          </cell>
          <cell r="F129">
            <v>6856963100</v>
          </cell>
          <cell r="G129">
            <v>502230400</v>
          </cell>
        </row>
        <row r="131">
          <cell r="E131">
            <v>98.74</v>
          </cell>
          <cell r="F131">
            <v>1711603970</v>
          </cell>
          <cell r="G131">
            <v>24586260</v>
          </cell>
        </row>
        <row r="135">
          <cell r="E135">
            <v>297.3886445</v>
          </cell>
          <cell r="F135">
            <v>4870875605.8876419</v>
          </cell>
          <cell r="G135">
            <v>71983383.338240519</v>
          </cell>
        </row>
        <row r="138">
          <cell r="E138">
            <v>12.661</v>
          </cell>
          <cell r="F138">
            <v>141662930</v>
          </cell>
          <cell r="G138">
            <v>18457447</v>
          </cell>
        </row>
        <row r="139">
          <cell r="E139">
            <v>327.15540000000004</v>
          </cell>
          <cell r="F139">
            <v>4151815382.1999998</v>
          </cell>
          <cell r="G139">
            <v>162134888.40000001</v>
          </cell>
        </row>
        <row r="142">
          <cell r="E142">
            <v>386.46155692857144</v>
          </cell>
          <cell r="F142">
            <v>10772551726.99</v>
          </cell>
          <cell r="G142">
            <v>-1085517339.1000004</v>
          </cell>
        </row>
        <row r="144">
          <cell r="E144">
            <v>520.54669000000001</v>
          </cell>
          <cell r="F144">
            <v>6978494539.7399998</v>
          </cell>
          <cell r="G144">
            <v>-98446933.760999918</v>
          </cell>
        </row>
        <row r="146">
          <cell r="E146">
            <v>23.3</v>
          </cell>
          <cell r="F146">
            <v>416365700</v>
          </cell>
          <cell r="G146">
            <v>581090</v>
          </cell>
        </row>
        <row r="149">
          <cell r="E149">
            <v>2501.4789999999998</v>
          </cell>
          <cell r="F149">
            <v>26320283702</v>
          </cell>
          <cell r="G149">
            <v>2183661479</v>
          </cell>
        </row>
        <row r="150">
          <cell r="E150">
            <v>364.44071525000004</v>
          </cell>
          <cell r="F150">
            <v>6033992670.1551723</v>
          </cell>
          <cell r="G150">
            <v>89172305.470272884</v>
          </cell>
        </row>
        <row r="153">
          <cell r="E153">
            <v>111.056</v>
          </cell>
          <cell r="F153">
            <v>1243568256</v>
          </cell>
          <cell r="G153">
            <v>130786342</v>
          </cell>
        </row>
        <row r="154">
          <cell r="E154">
            <v>607.54404</v>
          </cell>
          <cell r="F154">
            <v>6490292865.0378656</v>
          </cell>
          <cell r="G154">
            <v>868972883.65047836</v>
          </cell>
        </row>
        <row r="157">
          <cell r="E157">
            <v>96.081999999999994</v>
          </cell>
          <cell r="F157">
            <v>5173905994.5150404</v>
          </cell>
          <cell r="G157">
            <v>186860539.87575203</v>
          </cell>
        </row>
        <row r="159">
          <cell r="E159">
            <v>654.79960000000005</v>
          </cell>
          <cell r="F159">
            <v>12533394942</v>
          </cell>
          <cell r="G159">
            <v>797341551</v>
          </cell>
        </row>
        <row r="161">
          <cell r="E161">
            <v>362.04</v>
          </cell>
          <cell r="F161">
            <v>6594436589</v>
          </cell>
          <cell r="G161">
            <v>90290463</v>
          </cell>
        </row>
        <row r="164">
          <cell r="E164">
            <v>1198.32</v>
          </cell>
          <cell r="F164">
            <v>12683920980</v>
          </cell>
          <cell r="G164">
            <v>458133147</v>
          </cell>
        </row>
        <row r="165">
          <cell r="E165">
            <v>415.21980149060715</v>
          </cell>
          <cell r="F165">
            <v>6768749459.9573135</v>
          </cell>
          <cell r="G165">
            <v>100030780.19641289</v>
          </cell>
        </row>
        <row r="169">
          <cell r="E169">
            <v>622.26300000000003</v>
          </cell>
          <cell r="F169">
            <v>7725638642.499999</v>
          </cell>
          <cell r="G169">
            <v>1485198269.7600002</v>
          </cell>
        </row>
        <row r="172">
          <cell r="E172">
            <v>92.081980000000001</v>
          </cell>
          <cell r="F172">
            <v>4719608410</v>
          </cell>
          <cell r="G172">
            <v>331468920.5</v>
          </cell>
        </row>
        <row r="174">
          <cell r="E174">
            <v>159.36362000000003</v>
          </cell>
          <cell r="F174">
            <v>2601226340</v>
          </cell>
          <cell r="G174">
            <v>137369860</v>
          </cell>
        </row>
        <row r="176">
          <cell r="E176">
            <v>47.42</v>
          </cell>
          <cell r="F176">
            <v>805784440</v>
          </cell>
          <cell r="G176">
            <v>11826230</v>
          </cell>
        </row>
        <row r="179">
          <cell r="E179">
            <v>3905.6010000000001</v>
          </cell>
          <cell r="F179">
            <v>44027663284</v>
          </cell>
          <cell r="G179">
            <v>3322030756.0000334</v>
          </cell>
        </row>
        <row r="180">
          <cell r="E180">
            <v>279.90684700000003</v>
          </cell>
          <cell r="F180">
            <v>4771724418.3044014</v>
          </cell>
          <cell r="G180">
            <v>70518094.851788789</v>
          </cell>
        </row>
        <row r="183">
          <cell r="E183">
            <v>7.867</v>
          </cell>
          <cell r="F183">
            <v>86533938</v>
          </cell>
          <cell r="G183">
            <v>11336738</v>
          </cell>
        </row>
      </sheetData>
      <sheetData sheetId="2"/>
      <sheetData sheetId="3"/>
      <sheetData sheetId="4"/>
      <sheetData sheetId="5"/>
      <sheetData sheetId="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dri.setyawan" refreshedDate="46080.61991296296" createdVersion="6" refreshedVersion="3" minRefreshableVersion="3" recordCount="388">
  <cacheSource type="worksheet">
    <worksheetSource name="InputData"/>
  </cacheSource>
  <cacheFields count="12">
    <cacheField name="MONTH" numFmtId="17">
      <sharedItems containsSemiMixedTypes="0" containsNonDate="0" containsDate="1" containsString="0" minDate="2023-01-01T00:00:00" maxDate="2025-12-02T00:00:00" count="36">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cacheField>
    <cacheField name="PRODUCT ID" numFmtId="0">
      <sharedItems/>
    </cacheField>
    <cacheField name="TONASE" numFmtId="0">
      <sharedItems containsString="0" containsBlank="1" containsNumber="1" minValue="-90.577072725000022" maxValue="3905.6010000000001"/>
    </cacheField>
    <cacheField name="REVENUE" numFmtId="0">
      <sharedItems containsString="0" containsBlank="1" containsNumber="1" minValue="-2536158036.2999992" maxValue="44027663284"/>
    </cacheField>
    <cacheField name="GROSS PROFIT" numFmtId="0">
      <sharedItems containsString="0" containsBlank="1" containsNumber="1" minValue="-1085517339.1000004" maxValue="6378620243.887001"/>
    </cacheField>
    <cacheField name="GROSS PROFIT MARGIN" numFmtId="0">
      <sharedItems containsSemiMixedTypes="0" containsString="0" containsNumber="1" minValue="-0.77816172265588057" maxValue="0.98522167487684731"/>
    </cacheField>
    <cacheField name="PRODUCT" numFmtId="0">
      <sharedItems containsBlank="1" count="17">
        <s v="Tower"/>
        <s v="Steel Structure"/>
        <s v="Steel Creative &amp; Component"/>
        <s v="Electric Pole"/>
        <s v="Bends Pipe"/>
        <s v="Galvanized &amp; Galvalume"/>
        <s v="Baja Ringan"/>
        <s v="CNP"/>
        <s v="Other Product"/>
        <s v="Welded Beam"/>
        <s v="Modular"/>
        <s v="Fiber Optic Pole"/>
        <s v="Cut to Lenght"/>
        <s v="Custom Product"/>
        <s v="Floordeck"/>
        <s v="Seamless Pipe"/>
        <m u="1"/>
      </sharedItems>
    </cacheField>
    <cacheField name="SUBSIDIARY" numFmtId="0">
      <sharedItems containsBlank="1" count="6">
        <s v="KBK"/>
        <s v="KPI"/>
        <s v="KNI"/>
        <s v="KPdP"/>
        <m u="1"/>
        <e v="#N/A" u="1"/>
      </sharedItems>
    </cacheField>
    <cacheField name="MONTHLY" numFmtId="0">
      <sharedItems containsBlank="1" count="14">
        <s v="January"/>
        <s v="February"/>
        <s v="March"/>
        <s v="April"/>
        <s v="May"/>
        <s v="June"/>
        <s v="July"/>
        <s v="August"/>
        <s v="September"/>
        <s v="October"/>
        <s v="November"/>
        <s v="December"/>
        <m u="1"/>
        <s v="Feb" u="1"/>
      </sharedItems>
    </cacheField>
    <cacheField name="YEARLY" numFmtId="0">
      <sharedItems containsSemiMixedTypes="0" containsString="0" containsNumber="1" containsInteger="1" minValue="1900" maxValue="2025" count="4">
        <n v="2023"/>
        <n v="2024"/>
        <n v="2025"/>
        <n v="1900" u="1"/>
      </sharedItems>
    </cacheField>
    <cacheField name="SEMESTER" numFmtId="0">
      <sharedItems/>
    </cacheField>
    <cacheField name="TARGET TONASE" numFmtId="0">
      <sharedItems containsString="0" containsBlank="1" containsNumber="1" minValue="0" maxValue="1666.42"/>
    </cacheField>
  </cacheFields>
  <extLst>
    <ext xmlns:x14="http://schemas.microsoft.com/office/spreadsheetml/2009/9/main" uri="{725AE2AE-9491-48be-B2B4-4EB974FC3084}">
      <x14:pivotCacheDefinition pivotCacheId="810895774"/>
    </ext>
  </extLst>
</pivotCacheDefinition>
</file>

<file path=xl/pivotCache/pivotCacheRecords1.xml><?xml version="1.0" encoding="utf-8"?>
<pivotCacheRecords xmlns="http://schemas.openxmlformats.org/spreadsheetml/2006/main" xmlns:r="http://schemas.openxmlformats.org/officeDocument/2006/relationships" count="388">
  <r>
    <x v="0"/>
    <s v="P0001"/>
    <n v="157.6"/>
    <n v="3546000000"/>
    <n v="425520000"/>
    <n v="0.12"/>
    <x v="0"/>
    <x v="0"/>
    <x v="0"/>
    <x v="0"/>
    <s v="SMT-1"/>
    <n v="299.42000000000007"/>
  </r>
  <r>
    <x v="0"/>
    <s v="P0002"/>
    <n v="157.80000000000001"/>
    <n v="4102702725"/>
    <n v="328216218"/>
    <n v="0.08"/>
    <x v="1"/>
    <x v="0"/>
    <x v="0"/>
    <x v="0"/>
    <s v="SMT-1"/>
    <n v="0"/>
  </r>
  <r>
    <x v="0"/>
    <s v="P0003"/>
    <n v="1.2"/>
    <n v="46950000"/>
    <n v="16432499.999999998"/>
    <n v="0.35"/>
    <x v="2"/>
    <x v="0"/>
    <x v="0"/>
    <x v="0"/>
    <s v="SMT-1"/>
    <n v="0"/>
  </r>
  <r>
    <x v="0"/>
    <s v="P0004"/>
    <n v="138"/>
    <n v="3447663576.1589403"/>
    <n v="259758739.07284766"/>
    <n v="7.5343412526997833E-2"/>
    <x v="3"/>
    <x v="1"/>
    <x v="0"/>
    <x v="0"/>
    <s v="SMT-1"/>
    <n v="500"/>
  </r>
  <r>
    <x v="0"/>
    <s v="P0007"/>
    <n v="4"/>
    <n v="101881064.90066226"/>
    <n v="5094053.2450331133"/>
    <n v="0.05"/>
    <x v="4"/>
    <x v="1"/>
    <x v="0"/>
    <x v="0"/>
    <s v="SMT-1"/>
    <n v="0"/>
  </r>
  <r>
    <x v="0"/>
    <s v="P0008"/>
    <n v="165"/>
    <n v="2356440527"/>
    <n v="117822026.35000001"/>
    <n v="0.05"/>
    <x v="5"/>
    <x v="2"/>
    <x v="0"/>
    <x v="0"/>
    <s v="SMT-1"/>
    <n v="543"/>
  </r>
  <r>
    <x v="0"/>
    <s v="P0009"/>
    <n v="890"/>
    <n v="9051095705"/>
    <n v="135766435.57499999"/>
    <n v="1.4999999999999999E-2"/>
    <x v="6"/>
    <x v="2"/>
    <x v="0"/>
    <x v="0"/>
    <s v="SMT-1"/>
    <n v="0"/>
  </r>
  <r>
    <x v="0"/>
    <s v="P0010"/>
    <n v="26"/>
    <n v="232756675"/>
    <n v="3491350.125"/>
    <n v="1.4999999999999999E-2"/>
    <x v="7"/>
    <x v="2"/>
    <x v="0"/>
    <x v="0"/>
    <s v="SMT-1"/>
    <n v="0"/>
  </r>
  <r>
    <x v="0"/>
    <s v="P0013"/>
    <n v="34"/>
    <n v="484126572"/>
    <n v="7261898.5799999991"/>
    <n v="1.4999999999999998E-2"/>
    <x v="8"/>
    <x v="2"/>
    <x v="0"/>
    <x v="0"/>
    <s v="SMT-1"/>
    <n v="0"/>
  </r>
  <r>
    <x v="0"/>
    <s v="P0011"/>
    <n v="85.71"/>
    <n v="1500000000"/>
    <n v="120000000"/>
    <n v="0.08"/>
    <x v="9"/>
    <x v="3"/>
    <x v="0"/>
    <x v="0"/>
    <s v="SMT-1"/>
    <n v="157.58000000000001"/>
  </r>
  <r>
    <x v="1"/>
    <s v="P0001"/>
    <n v="86.868283565217382"/>
    <n v="1997970582"/>
    <n v="199797058.20000002"/>
    <n v="0.1"/>
    <x v="0"/>
    <x v="0"/>
    <x v="1"/>
    <x v="0"/>
    <s v="SMT-1"/>
    <n v="299.42000000000007"/>
  </r>
  <r>
    <x v="1"/>
    <s v="P0002"/>
    <n v="473.68542943934227"/>
    <n v="8160720605"/>
    <n v="1158238345.0596323"/>
    <n v="0.14192844003873753"/>
    <x v="1"/>
    <x v="0"/>
    <x v="1"/>
    <x v="0"/>
    <s v="SMT-1"/>
    <n v="0"/>
  </r>
  <r>
    <x v="1"/>
    <s v="P0003"/>
    <n v="0.35603239999999997"/>
    <n v="17801620"/>
    <n v="6230567"/>
    <n v="0.35"/>
    <x v="2"/>
    <x v="0"/>
    <x v="1"/>
    <x v="0"/>
    <s v="SMT-1"/>
    <n v="0"/>
  </r>
  <r>
    <x v="1"/>
    <s v="P0012"/>
    <n v="20.250528782608697"/>
    <n v="495462162"/>
    <n v="74319324.299999997"/>
    <n v="0.15"/>
    <x v="10"/>
    <x v="0"/>
    <x v="1"/>
    <x v="0"/>
    <s v="SMT-1"/>
    <n v="0"/>
  </r>
  <r>
    <x v="1"/>
    <s v="P0005"/>
    <n v="89.4"/>
    <n v="1665000000"/>
    <n v="65214000"/>
    <n v="3.916756756756757E-2"/>
    <x v="11"/>
    <x v="1"/>
    <x v="1"/>
    <x v="0"/>
    <s v="SMT-1"/>
    <n v="500"/>
  </r>
  <r>
    <x v="1"/>
    <s v="P0008"/>
    <n v="45.718604844101492"/>
    <n v="504507263"/>
    <n v="300392742.34504503"/>
    <n v="0.59541807299024951"/>
    <x v="5"/>
    <x v="2"/>
    <x v="1"/>
    <x v="0"/>
    <s v="SMT-1"/>
    <n v="543"/>
  </r>
  <r>
    <x v="1"/>
    <s v="P0009"/>
    <n v="383.3135951558985"/>
    <n v="7153083569"/>
    <n v="105741395"/>
    <n v="1.478263101220592E-2"/>
    <x v="6"/>
    <x v="2"/>
    <x v="1"/>
    <x v="0"/>
    <s v="SMT-1"/>
    <n v="0"/>
  </r>
  <r>
    <x v="1"/>
    <s v="P0010"/>
    <n v="288.96780000000001"/>
    <n v="4634409168"/>
    <n v="68930130"/>
    <n v="1.4873552917155803E-2"/>
    <x v="7"/>
    <x v="2"/>
    <x v="1"/>
    <x v="0"/>
    <s v="SMT-1"/>
    <n v="0"/>
  </r>
  <r>
    <x v="1"/>
    <s v="P0011"/>
    <n v="85.714285714285708"/>
    <n v="1500000000"/>
    <n v="120000000"/>
    <n v="0.08"/>
    <x v="9"/>
    <x v="3"/>
    <x v="1"/>
    <x v="0"/>
    <s v="SMT-1"/>
    <n v="157.58000000000001"/>
  </r>
  <r>
    <x v="2"/>
    <s v="P0001"/>
    <n v="90.48375999999999"/>
    <n v="2114967684"/>
    <n v="158622576.29999998"/>
    <n v="7.4999999999999997E-2"/>
    <x v="0"/>
    <x v="0"/>
    <x v="2"/>
    <x v="0"/>
    <s v="SMT-1"/>
    <n v="320.42000000000007"/>
  </r>
  <r>
    <x v="2"/>
    <s v="P0002"/>
    <n v="368.22535024899059"/>
    <n v="8793990269.2099991"/>
    <n v="659549270.19074988"/>
    <n v="7.4999999999999997E-2"/>
    <x v="1"/>
    <x v="0"/>
    <x v="2"/>
    <x v="0"/>
    <s v="SMT-1"/>
    <n v="0"/>
  </r>
  <r>
    <x v="2"/>
    <s v="P0003"/>
    <n v="56.078480000000006"/>
    <n v="986072520.74000001"/>
    <n v="74760957.074000001"/>
    <n v="7.5816895311001567E-2"/>
    <x v="2"/>
    <x v="0"/>
    <x v="2"/>
    <x v="0"/>
    <s v="SMT-1"/>
    <n v="0"/>
  </r>
  <r>
    <x v="2"/>
    <s v="P0004"/>
    <n v="231.136"/>
    <n v="3783488000"/>
    <n v="80435328"/>
    <n v="2.1259570005243839E-2"/>
    <x v="3"/>
    <x v="1"/>
    <x v="2"/>
    <x v="0"/>
    <s v="SMT-1"/>
    <n v="500"/>
  </r>
  <r>
    <x v="2"/>
    <s v="P0005"/>
    <n v="19.25"/>
    <n v="362500000"/>
    <n v="14822500"/>
    <n v="4.0889655172413795E-2"/>
    <x v="11"/>
    <x v="1"/>
    <x v="2"/>
    <x v="0"/>
    <s v="SMT-1"/>
    <n v="0"/>
  </r>
  <r>
    <x v="2"/>
    <s v="P0008"/>
    <n v="0"/>
    <n v="0"/>
    <n v="300392742.34504503"/>
    <n v="0"/>
    <x v="5"/>
    <x v="2"/>
    <x v="2"/>
    <x v="0"/>
    <s v="SMT-1"/>
    <n v="522"/>
  </r>
  <r>
    <x v="2"/>
    <s v="P0009"/>
    <n v="254.09420537405782"/>
    <n v="4929139510"/>
    <n v="74923817"/>
    <n v="1.5200181867037478E-2"/>
    <x v="6"/>
    <x v="2"/>
    <x v="2"/>
    <x v="0"/>
    <s v="SMT-1"/>
    <n v="0"/>
  </r>
  <r>
    <x v="2"/>
    <s v="P0010"/>
    <n v="0"/>
    <n v="0"/>
    <n v="68930130"/>
    <n v="0"/>
    <x v="7"/>
    <x v="2"/>
    <x v="2"/>
    <x v="0"/>
    <s v="SMT-1"/>
    <n v="0"/>
  </r>
  <r>
    <x v="2"/>
    <s v="P0013"/>
    <n v="545.25179462594224"/>
    <n v="13035441011"/>
    <n v="195531615.16499999"/>
    <n v="1.4999999999999999E-2"/>
    <x v="8"/>
    <x v="2"/>
    <x v="2"/>
    <x v="0"/>
    <s v="SMT-1"/>
    <n v="0"/>
  </r>
  <r>
    <x v="2"/>
    <s v="P0011"/>
    <n v="85.714285714285708"/>
    <n v="1500000000"/>
    <n v="120000000"/>
    <n v="0.08"/>
    <x v="9"/>
    <x v="3"/>
    <x v="2"/>
    <x v="0"/>
    <s v="SMT-1"/>
    <n v="157.58000000000001"/>
  </r>
  <r>
    <x v="3"/>
    <s v="P0001"/>
    <n v="6.58927"/>
    <n v="164495893"/>
    <n v="9883905"/>
    <n v="6.0086029017149989E-2"/>
    <x v="0"/>
    <x v="0"/>
    <x v="3"/>
    <x v="0"/>
    <s v="SMT-1"/>
    <n v="445.42000000000007"/>
  </r>
  <r>
    <x v="3"/>
    <s v="P0002"/>
    <n v="138.46724137931034"/>
    <n v="4015550000"/>
    <n v="200777500"/>
    <n v="0.05"/>
    <x v="1"/>
    <x v="0"/>
    <x v="3"/>
    <x v="0"/>
    <s v="SMT-1"/>
    <n v="0"/>
  </r>
  <r>
    <x v="3"/>
    <s v="P0003"/>
    <n v="0.49306499999999998"/>
    <n v="12326625"/>
    <n v="654768.75"/>
    <n v="5.3118250129293297E-2"/>
    <x v="2"/>
    <x v="0"/>
    <x v="3"/>
    <x v="0"/>
    <s v="SMT-1"/>
    <n v="0"/>
  </r>
  <r>
    <x v="3"/>
    <s v="P0005"/>
    <n v="77.099999999999994"/>
    <n v="1410000000"/>
    <n v="58071000"/>
    <n v="4.1185106382978724E-2"/>
    <x v="11"/>
    <x v="1"/>
    <x v="3"/>
    <x v="0"/>
    <s v="SMT-1"/>
    <n v="500"/>
  </r>
  <r>
    <x v="3"/>
    <s v="P0009"/>
    <n v="329"/>
    <n v="6304000000"/>
    <n v="95821946.489804268"/>
    <n v="1.5200181867037478E-2"/>
    <x v="6"/>
    <x v="2"/>
    <x v="3"/>
    <x v="0"/>
    <s v="SMT-1"/>
    <n v="397"/>
  </r>
  <r>
    <x v="3"/>
    <s v="P0013"/>
    <n v="114"/>
    <n v="1686000000"/>
    <n v="25290000"/>
    <n v="1.4999999999999999E-2"/>
    <x v="8"/>
    <x v="2"/>
    <x v="3"/>
    <x v="0"/>
    <s v="SMT-1"/>
    <n v="0"/>
  </r>
  <r>
    <x v="3"/>
    <s v="P0011"/>
    <n v="85.714285714285708"/>
    <n v="1500000000"/>
    <n v="75000000"/>
    <n v="0.05"/>
    <x v="9"/>
    <x v="3"/>
    <x v="3"/>
    <x v="0"/>
    <s v="SMT-1"/>
    <n v="157.58000000000001"/>
  </r>
  <r>
    <x v="4"/>
    <s v="P0001"/>
    <n v="2.9956646938775502"/>
    <n v="73253735"/>
    <n v="7325373.5"/>
    <n v="0.1"/>
    <x v="0"/>
    <x v="0"/>
    <x v="4"/>
    <x v="0"/>
    <s v="SMT-1"/>
    <n v="635.92000000000007"/>
  </r>
  <r>
    <x v="4"/>
    <s v="P0002"/>
    <n v="23.424546216610178"/>
    <n v="183688471.69000006"/>
    <n v="14695077.735199988"/>
    <n v="7.9999999999999905E-2"/>
    <x v="1"/>
    <x v="0"/>
    <x v="4"/>
    <x v="0"/>
    <s v="SMT-1"/>
    <n v="0"/>
  </r>
  <r>
    <x v="4"/>
    <s v="P0003"/>
    <n v="12.976618675510204"/>
    <n v="212714642.73999977"/>
    <n v="21271464.274000019"/>
    <n v="0.1000000000000002"/>
    <x v="2"/>
    <x v="0"/>
    <x v="4"/>
    <x v="0"/>
    <s v="SMT-1"/>
    <n v="0"/>
  </r>
  <r>
    <x v="4"/>
    <s v="P0014"/>
    <n v="1727.6680000000001"/>
    <n v="15071008000"/>
    <n v="1507100800"/>
    <n v="0.1"/>
    <x v="12"/>
    <x v="0"/>
    <x v="4"/>
    <x v="0"/>
    <s v="SMT-1"/>
    <n v="0"/>
  </r>
  <r>
    <x v="4"/>
    <s v="P0004"/>
    <n v="64.593456953642402"/>
    <n v="24836423.841058731"/>
    <n v="1871260.9271523356"/>
    <n v="7.5343412527001205E-2"/>
    <x v="3"/>
    <x v="1"/>
    <x v="4"/>
    <x v="0"/>
    <s v="SMT-1"/>
    <n v="500"/>
  </r>
  <r>
    <x v="4"/>
    <s v="P0005"/>
    <n v="2.3100000000000023"/>
    <n v="43500000"/>
    <n v="1778700"/>
    <n v="4.0889655172413795E-2"/>
    <x v="11"/>
    <x v="1"/>
    <x v="4"/>
    <x v="0"/>
    <s v="SMT-1"/>
    <n v="0"/>
  </r>
  <r>
    <x v="4"/>
    <s v="P0007"/>
    <n v="31.924757403973508"/>
    <n v="3318618935.0993376"/>
    <n v="97520946.754966885"/>
    <n v="2.9386003232711545E-2"/>
    <x v="4"/>
    <x v="1"/>
    <x v="4"/>
    <x v="0"/>
    <s v="SMT-1"/>
    <n v="0"/>
  </r>
  <r>
    <x v="4"/>
    <s v="P0009"/>
    <n v="170.64246600311526"/>
    <n v="4381970986"/>
    <n v="12574370.380195744"/>
    <n v="2.8695695202843007E-3"/>
    <x v="6"/>
    <x v="2"/>
    <x v="4"/>
    <x v="0"/>
    <s v="SMT-1"/>
    <n v="456.5"/>
  </r>
  <r>
    <x v="4"/>
    <s v="P0013"/>
    <n v="120.5"/>
    <n v="610948553.29999924"/>
    <n v="-475416778.69004548"/>
    <n v="-0.77816172265588057"/>
    <x v="8"/>
    <x v="2"/>
    <x v="4"/>
    <x v="0"/>
    <s v="SMT-1"/>
    <n v="0"/>
  </r>
  <r>
    <x v="4"/>
    <s v="P0011"/>
    <n v="85.714285714285708"/>
    <n v="1500000000"/>
    <n v="75000000"/>
    <n v="0.05"/>
    <x v="9"/>
    <x v="3"/>
    <x v="4"/>
    <x v="0"/>
    <s v="SMT-1"/>
    <n v="157.58000000000001"/>
  </r>
  <r>
    <x v="5"/>
    <s v="P0001"/>
    <n v="0.20398666666666668"/>
    <n v="4589700"/>
    <n v="367180"/>
    <n v="8.0000871516656857E-2"/>
    <x v="0"/>
    <x v="0"/>
    <x v="5"/>
    <x v="0"/>
    <s v="SMT-1"/>
    <n v="878.92000000000007"/>
  </r>
  <r>
    <x v="5"/>
    <s v="P0002"/>
    <n v="117.944675"/>
    <n v="2358893500"/>
    <n v="117944675"/>
    <n v="0.05"/>
    <x v="1"/>
    <x v="0"/>
    <x v="5"/>
    <x v="0"/>
    <s v="SMT-1"/>
    <n v="0"/>
  </r>
  <r>
    <x v="5"/>
    <s v="P0003"/>
    <n v="306.36093087722224"/>
    <n v="2558279977.1900001"/>
    <n v="319815125.4000001"/>
    <n v="0.12501177676076064"/>
    <x v="2"/>
    <x v="0"/>
    <x v="5"/>
    <x v="0"/>
    <s v="SMT-1"/>
    <n v="0"/>
  </r>
  <r>
    <x v="5"/>
    <s v="P0012"/>
    <n v="6.302160024"/>
    <n v="126043200.48"/>
    <n v="5424000"/>
    <n v="4.3032864758624223E-2"/>
    <x v="10"/>
    <x v="0"/>
    <x v="5"/>
    <x v="0"/>
    <s v="SMT-1"/>
    <n v="0"/>
  </r>
  <r>
    <x v="5"/>
    <s v="P0004"/>
    <n v="34.950000000000003"/>
    <n v="543192900"/>
    <n v="10030650"/>
    <n v="1.8466091880066916E-2"/>
    <x v="3"/>
    <x v="1"/>
    <x v="5"/>
    <x v="0"/>
    <s v="SMT-1"/>
    <n v="500"/>
  </r>
  <r>
    <x v="5"/>
    <s v="P0005"/>
    <n v="253"/>
    <n v="4221750000"/>
    <n v="450939940"/>
    <n v="0.10681351098478119"/>
    <x v="11"/>
    <x v="1"/>
    <x v="5"/>
    <x v="0"/>
    <s v="SMT-1"/>
    <n v="0"/>
  </r>
  <r>
    <x v="5"/>
    <s v="P0009"/>
    <n v="323"/>
    <n v="5838000000"/>
    <n v="87570000"/>
    <n v="1.4999999999999999E-2"/>
    <x v="6"/>
    <x v="2"/>
    <x v="5"/>
    <x v="0"/>
    <s v="SMT-1"/>
    <n v="463.5"/>
  </r>
  <r>
    <x v="5"/>
    <s v="P0013"/>
    <n v="337"/>
    <n v="5774000000"/>
    <n v="86610000"/>
    <n v="1.4999999999999999E-2"/>
    <x v="8"/>
    <x v="2"/>
    <x v="5"/>
    <x v="0"/>
    <s v="SMT-1"/>
    <n v="0"/>
  </r>
  <r>
    <x v="5"/>
    <s v="P0011"/>
    <n v="57.58"/>
    <n v="1137808518"/>
    <n v="45512340.719999999"/>
    <n v="0.04"/>
    <x v="9"/>
    <x v="3"/>
    <x v="5"/>
    <x v="0"/>
    <s v="SMT-1"/>
    <n v="157.58000000000001"/>
  </r>
  <r>
    <x v="5"/>
    <s v="P0015"/>
    <n v="233.8"/>
    <n v="3537702246"/>
    <n v="141508089.84"/>
    <n v="0.04"/>
    <x v="13"/>
    <x v="3"/>
    <x v="5"/>
    <x v="0"/>
    <s v="SMT-1"/>
    <n v="0"/>
  </r>
  <r>
    <x v="6"/>
    <s v="P0001"/>
    <n v="44.671550000000003"/>
    <n v="993961475"/>
    <n v="89056715.5"/>
    <n v="8.9597753776120947E-2"/>
    <x v="0"/>
    <x v="0"/>
    <x v="6"/>
    <x v="0"/>
    <s v="SMT-2"/>
    <n v="829.42000000000007"/>
  </r>
  <r>
    <x v="6"/>
    <s v="P0002"/>
    <n v="323.66034347310347"/>
    <n v="6019616196.7000008"/>
    <n v="21077.790150400637"/>
    <n v="3.5015172831044679E-6"/>
    <x v="1"/>
    <x v="0"/>
    <x v="6"/>
    <x v="0"/>
    <s v="SMT-2"/>
    <n v="0"/>
  </r>
  <r>
    <x v="6"/>
    <s v="P0003"/>
    <n v="80.028747200000026"/>
    <n v="1841806257.5599995"/>
    <n v="121629551.1362502"/>
    <n v="6.6038189759102792E-2"/>
    <x v="2"/>
    <x v="0"/>
    <x v="6"/>
    <x v="0"/>
    <s v="SMT-2"/>
    <n v="0"/>
  </r>
  <r>
    <x v="6"/>
    <s v="P0014"/>
    <n v="806.68399999999997"/>
    <n v="5641783243.1599998"/>
    <n v="403342000"/>
    <n v="7.1491934839752108E-2"/>
    <x v="12"/>
    <x v="0"/>
    <x v="6"/>
    <x v="0"/>
    <s v="SMT-2"/>
    <n v="0"/>
  </r>
  <r>
    <x v="6"/>
    <s v="P0004"/>
    <n v="407.2"/>
    <n v="6187422200"/>
    <n v="70063700"/>
    <n v="1.1323568642204504E-2"/>
    <x v="3"/>
    <x v="1"/>
    <x v="6"/>
    <x v="0"/>
    <s v="SMT-2"/>
    <n v="500"/>
  </r>
  <r>
    <x v="6"/>
    <s v="P0009"/>
    <n v="578.0797111602817"/>
    <n v="10170619525"/>
    <n v="194816729"/>
    <n v="1.9154853696092815E-2"/>
    <x v="6"/>
    <x v="2"/>
    <x v="6"/>
    <x v="0"/>
    <s v="SMT-2"/>
    <n v="513"/>
  </r>
  <r>
    <x v="6"/>
    <s v="P0013"/>
    <n v="47.782400000000003"/>
    <n v="785414898"/>
    <n v="20232921.759369373"/>
    <n v="2.5760807199979256E-2"/>
    <x v="8"/>
    <x v="2"/>
    <x v="6"/>
    <x v="0"/>
    <s v="SMT-2"/>
    <n v="0"/>
  </r>
  <r>
    <x v="6"/>
    <s v="P0011"/>
    <n v="57.58"/>
    <n v="1137808518"/>
    <n v="45512340.719999999"/>
    <n v="0.04"/>
    <x v="9"/>
    <x v="3"/>
    <x v="6"/>
    <x v="0"/>
    <s v="SMT-2"/>
    <n v="157.58000000000001"/>
  </r>
  <r>
    <x v="7"/>
    <s v="P0001"/>
    <n v="89.137439999999984"/>
    <n v="1992611524"/>
    <n v="159408921.92000002"/>
    <n v="0.08"/>
    <x v="0"/>
    <x v="0"/>
    <x v="7"/>
    <x v="0"/>
    <s v="SMT-2"/>
    <n v="1320"/>
  </r>
  <r>
    <x v="7"/>
    <s v="P0002"/>
    <n v="130.81265595573313"/>
    <n v="3118854318.7399998"/>
    <n v="249508345.49919999"/>
    <n v="0.08"/>
    <x v="1"/>
    <x v="0"/>
    <x v="7"/>
    <x v="0"/>
    <s v="SMT-2"/>
    <n v="0"/>
  </r>
  <r>
    <x v="7"/>
    <s v="P0003"/>
    <n v="178.54794661962217"/>
    <n v="3073059100.5699997"/>
    <n v="245844728.04559997"/>
    <n v="0.08"/>
    <x v="2"/>
    <x v="0"/>
    <x v="7"/>
    <x v="0"/>
    <s v="SMT-2"/>
    <n v="0"/>
  </r>
  <r>
    <x v="7"/>
    <s v="P0014"/>
    <n v="375.15199999999999"/>
    <n v="2911747104"/>
    <n v="187576000"/>
    <n v="6.4420429831395135E-2"/>
    <x v="12"/>
    <x v="0"/>
    <x v="7"/>
    <x v="0"/>
    <s v="SMT-2"/>
    <n v="0"/>
  </r>
  <r>
    <x v="7"/>
    <s v="P0004"/>
    <n v="256.3"/>
    <n v="3983414600"/>
    <n v="73558100"/>
    <n v="1.8466091880066916E-2"/>
    <x v="3"/>
    <x v="1"/>
    <x v="7"/>
    <x v="0"/>
    <s v="SMT-2"/>
    <n v="500"/>
  </r>
  <r>
    <x v="7"/>
    <s v="P0009"/>
    <n v="393.31233141498944"/>
    <n v="6853340680"/>
    <n v="101564353"/>
    <n v="1.4819685426757451E-2"/>
    <x v="6"/>
    <x v="2"/>
    <x v="7"/>
    <x v="0"/>
    <s v="SMT-2"/>
    <n v="522"/>
  </r>
  <r>
    <x v="7"/>
    <s v="P0013"/>
    <n v="55.878949999999996"/>
    <n v="865583350"/>
    <n v="11162164.414414443"/>
    <n v="1.2895539654747799E-2"/>
    <x v="8"/>
    <x v="2"/>
    <x v="7"/>
    <x v="0"/>
    <s v="SMT-2"/>
    <n v="0"/>
  </r>
  <r>
    <x v="7"/>
    <s v="P0011"/>
    <n v="57.58"/>
    <n v="1137808518"/>
    <n v="45512340.719999999"/>
    <n v="0.04"/>
    <x v="9"/>
    <x v="3"/>
    <x v="7"/>
    <x v="0"/>
    <s v="SMT-2"/>
    <n v="158"/>
  </r>
  <r>
    <x v="8"/>
    <s v="P0001"/>
    <n v="7.5552099999999998"/>
    <n v="169992225"/>
    <n v="16621462"/>
    <n v="9.7777777777777783E-2"/>
    <x v="0"/>
    <x v="0"/>
    <x v="8"/>
    <x v="0"/>
    <s v="SMT-2"/>
    <n v="1570"/>
  </r>
  <r>
    <x v="8"/>
    <s v="P0002"/>
    <n v="6.6690857278571434"/>
    <n v="186734400.38"/>
    <n v="9336720.0189999994"/>
    <n v="4.9999999999999996E-2"/>
    <x v="1"/>
    <x v="0"/>
    <x v="8"/>
    <x v="0"/>
    <s v="SMT-2"/>
    <n v="0"/>
  </r>
  <r>
    <x v="8"/>
    <s v="P0003"/>
    <n v="490.92646666666667"/>
    <n v="1446682967.04"/>
    <n v="179114338.104"/>
    <n v="0.1238103594116952"/>
    <x v="2"/>
    <x v="0"/>
    <x v="8"/>
    <x v="0"/>
    <s v="SMT-2"/>
    <n v="0"/>
  </r>
  <r>
    <x v="8"/>
    <s v="P0014"/>
    <n v="268.8252"/>
    <n v="2008330840"/>
    <n v="80647560"/>
    <n v="4.0156511264847178E-2"/>
    <x v="12"/>
    <x v="0"/>
    <x v="8"/>
    <x v="0"/>
    <s v="SMT-2"/>
    <n v="0"/>
  </r>
  <r>
    <x v="8"/>
    <s v="P0012"/>
    <n v="3.68"/>
    <n v="92000000"/>
    <n v="7360000"/>
    <n v="0.08"/>
    <x v="10"/>
    <x v="0"/>
    <x v="8"/>
    <x v="0"/>
    <s v="SMT-2"/>
    <n v="0"/>
  </r>
  <r>
    <x v="8"/>
    <s v="P0004"/>
    <n v="521.62099999999998"/>
    <n v="7857715582"/>
    <n v="67112227"/>
    <n v="8.5409335957306477E-3"/>
    <x v="3"/>
    <x v="1"/>
    <x v="8"/>
    <x v="0"/>
    <s v="SMT-2"/>
    <n v="500"/>
  </r>
  <r>
    <x v="8"/>
    <s v="P0005"/>
    <n v="19.25"/>
    <n v="362500000"/>
    <n v="14822500"/>
    <n v="4.0889655172413795E-2"/>
    <x v="11"/>
    <x v="1"/>
    <x v="8"/>
    <x v="0"/>
    <s v="SMT-2"/>
    <n v="0"/>
  </r>
  <r>
    <x v="8"/>
    <s v="P0009"/>
    <n v="514.1254479079721"/>
    <n v="7450149479"/>
    <n v="110097525"/>
    <n v="1.4777894767123236E-2"/>
    <x v="6"/>
    <x v="2"/>
    <x v="8"/>
    <x v="0"/>
    <s v="SMT-2"/>
    <n v="522"/>
  </r>
  <r>
    <x v="8"/>
    <s v="P0010"/>
    <n v="45.774740000000008"/>
    <n v="601611854.14414406"/>
    <n v="39916200.106343284"/>
    <n v="6.6348759306161381E-2"/>
    <x v="7"/>
    <x v="2"/>
    <x v="8"/>
    <x v="0"/>
    <s v="SMT-2"/>
    <n v="0"/>
  </r>
  <r>
    <x v="8"/>
    <s v="P0013"/>
    <n v="34.309480000000001"/>
    <n v="426577144.57657659"/>
    <n v="22690401.531531543"/>
    <n v="5.3191789152356464E-2"/>
    <x v="8"/>
    <x v="2"/>
    <x v="8"/>
    <x v="0"/>
    <s v="SMT-2"/>
    <n v="0"/>
  </r>
  <r>
    <x v="8"/>
    <s v="P0011"/>
    <n v="92.58"/>
    <n v="1759020000"/>
    <n v="70360800"/>
    <n v="0.04"/>
    <x v="9"/>
    <x v="3"/>
    <x v="8"/>
    <x v="0"/>
    <s v="SMT-2"/>
    <n v="158"/>
  </r>
  <r>
    <x v="8"/>
    <s v="P0015"/>
    <n v="1487.0085714285713"/>
    <n v="29384005191.219868"/>
    <n v="1175360207.6487947"/>
    <n v="0.04"/>
    <x v="13"/>
    <x v="3"/>
    <x v="8"/>
    <x v="0"/>
    <s v="SMT-2"/>
    <n v="0"/>
  </r>
  <r>
    <x v="9"/>
    <s v="P0001"/>
    <n v="30.077869999999997"/>
    <n v="676752075"/>
    <n v="67675207.5"/>
    <n v="0.1"/>
    <x v="0"/>
    <x v="0"/>
    <x v="9"/>
    <x v="0"/>
    <s v="SMT-2"/>
    <n v="1570"/>
  </r>
  <r>
    <x v="9"/>
    <s v="P0003"/>
    <n v="1044.07834"/>
    <n v="2127346671.650001"/>
    <n v="243675080"/>
    <n v="0.11454413295553849"/>
    <x v="2"/>
    <x v="0"/>
    <x v="9"/>
    <x v="0"/>
    <s v="SMT-2"/>
    <n v="0"/>
  </r>
  <r>
    <x v="9"/>
    <s v="P0014"/>
    <n v="160.45097999999999"/>
    <n v="1323303334"/>
    <n v="160450979.99999997"/>
    <n v="0.12125034062673945"/>
    <x v="12"/>
    <x v="0"/>
    <x v="9"/>
    <x v="0"/>
    <s v="SMT-2"/>
    <n v="0"/>
  </r>
  <r>
    <x v="9"/>
    <s v="P0012"/>
    <n v="57.719000000000001"/>
    <n v="1591275000"/>
    <n v="127302000"/>
    <n v="0.08"/>
    <x v="10"/>
    <x v="0"/>
    <x v="9"/>
    <x v="0"/>
    <s v="SMT-2"/>
    <n v="0"/>
  </r>
  <r>
    <x v="9"/>
    <s v="P0005"/>
    <n v="667.24199999999996"/>
    <n v="10045995552"/>
    <n v="84072492"/>
    <n v="8.36875664187035E-3"/>
    <x v="11"/>
    <x v="1"/>
    <x v="9"/>
    <x v="0"/>
    <s v="SMT-2"/>
    <n v="500"/>
  </r>
  <r>
    <x v="9"/>
    <s v="P0007"/>
    <n v="46"/>
    <n v="1018010244"/>
    <n v="169668374"/>
    <n v="0.16666666666666666"/>
    <x v="4"/>
    <x v="1"/>
    <x v="9"/>
    <x v="0"/>
    <s v="SMT-2"/>
    <n v="0"/>
  </r>
  <r>
    <x v="9"/>
    <s v="P0009"/>
    <n v="515.84041830966783"/>
    <n v="8251561760"/>
    <n v="121940255"/>
    <n v="1.477783946199295E-2"/>
    <x v="6"/>
    <x v="2"/>
    <x v="9"/>
    <x v="0"/>
    <s v="SMT-2"/>
    <n v="522"/>
  </r>
  <r>
    <x v="9"/>
    <s v="P0010"/>
    <n v="40.009620000000005"/>
    <n v="562353798.91891885"/>
    <n v="33362108.396396331"/>
    <n v="5.9325834484504902E-2"/>
    <x v="7"/>
    <x v="2"/>
    <x v="9"/>
    <x v="0"/>
    <s v="SMT-2"/>
    <n v="0"/>
  </r>
  <r>
    <x v="9"/>
    <s v="P0013"/>
    <n v="15.6409"/>
    <n v="170538212"/>
    <n v="12704752.063063085"/>
    <n v="7.4497978570709333E-2"/>
    <x v="8"/>
    <x v="2"/>
    <x v="9"/>
    <x v="0"/>
    <s v="SMT-2"/>
    <n v="0"/>
  </r>
  <r>
    <x v="9"/>
    <s v="P0011"/>
    <n v="92.58"/>
    <n v="1759020000"/>
    <n v="70360800"/>
    <n v="0.04"/>
    <x v="9"/>
    <x v="3"/>
    <x v="9"/>
    <x v="0"/>
    <s v="SMT-2"/>
    <n v="158"/>
  </r>
  <r>
    <x v="10"/>
    <s v="P0001"/>
    <n v="14.094889999999999"/>
    <n v="324271575"/>
    <n v="16213578.75"/>
    <n v="0.05"/>
    <x v="0"/>
    <x v="0"/>
    <x v="10"/>
    <x v="0"/>
    <s v="SMT-2"/>
    <n v="1600.42"/>
  </r>
  <r>
    <x v="10"/>
    <s v="P0002"/>
    <n v="83.296938310344814"/>
    <n v="2296866061"/>
    <n v="114843303.05000001"/>
    <n v="0.05"/>
    <x v="1"/>
    <x v="0"/>
    <x v="10"/>
    <x v="0"/>
    <s v="SMT-2"/>
    <n v="0"/>
  </r>
  <r>
    <x v="10"/>
    <s v="P0003"/>
    <n v="990.4454958419243"/>
    <n v="6427112935.1999998"/>
    <n v="321355646.75999999"/>
    <n v="0.05"/>
    <x v="2"/>
    <x v="0"/>
    <x v="10"/>
    <x v="0"/>
    <s v="SMT-2"/>
    <n v="0"/>
  </r>
  <r>
    <x v="10"/>
    <s v="P0014"/>
    <n v="99.936999999999998"/>
    <n v="826596880"/>
    <n v="41329844"/>
    <n v="0.05"/>
    <x v="12"/>
    <x v="0"/>
    <x v="10"/>
    <x v="0"/>
    <s v="SMT-2"/>
    <n v="0"/>
  </r>
  <r>
    <x v="10"/>
    <s v="P0012"/>
    <n v="16.645"/>
    <n v="649999900.20000005"/>
    <n v="32499995.010000005"/>
    <n v="0.05"/>
    <x v="10"/>
    <x v="0"/>
    <x v="10"/>
    <x v="0"/>
    <s v="SMT-2"/>
    <n v="0"/>
  </r>
  <r>
    <x v="10"/>
    <s v="P0004"/>
    <n v="1661.5340000000001"/>
    <n v="25876909754"/>
    <n v="537493249"/>
    <n v="2.07711528969148E-2"/>
    <x v="3"/>
    <x v="1"/>
    <x v="10"/>
    <x v="0"/>
    <s v="SMT-2"/>
    <n v="500"/>
  </r>
  <r>
    <x v="10"/>
    <s v="P0005"/>
    <n v="38.5"/>
    <n v="725000000"/>
    <n v="29645000"/>
    <n v="4.0889655172413795E-2"/>
    <x v="11"/>
    <x v="1"/>
    <x v="10"/>
    <x v="0"/>
    <s v="SMT-2"/>
    <n v="0"/>
  </r>
  <r>
    <x v="10"/>
    <s v="P0009"/>
    <n v="551.0701478794889"/>
    <n v="9685008368"/>
    <n v="143026050"/>
    <n v="1.4767777637918093E-2"/>
    <x v="6"/>
    <x v="2"/>
    <x v="10"/>
    <x v="0"/>
    <s v="SMT-2"/>
    <n v="492"/>
  </r>
  <r>
    <x v="10"/>
    <s v="P0010"/>
    <n v="0.32471999999999995"/>
    <n v="6335784"/>
    <n v="1268216"/>
    <n v="0.20016717741640183"/>
    <x v="7"/>
    <x v="2"/>
    <x v="10"/>
    <x v="0"/>
    <s v="SMT-2"/>
    <n v="0"/>
  </r>
  <r>
    <x v="10"/>
    <s v="P0013"/>
    <n v="95.913719999999998"/>
    <n v="1223201807"/>
    <n v="63037821"/>
    <n v="5.1535094731919411E-2"/>
    <x v="8"/>
    <x v="2"/>
    <x v="10"/>
    <x v="0"/>
    <s v="SMT-2"/>
    <n v="0"/>
  </r>
  <r>
    <x v="10"/>
    <s v="P0011"/>
    <n v="92.58"/>
    <n v="1759020000"/>
    <n v="70360800"/>
    <n v="0.04"/>
    <x v="9"/>
    <x v="3"/>
    <x v="10"/>
    <x v="0"/>
    <s v="SMT-2"/>
    <n v="157.58000000000001"/>
  </r>
  <r>
    <x v="11"/>
    <s v="P0001"/>
    <n v="40.568799999999996"/>
    <n v="912798000"/>
    <n v="81137599.999999985"/>
    <n v="8.8888888888888878E-2"/>
    <x v="0"/>
    <x v="0"/>
    <x v="11"/>
    <x v="0"/>
    <s v="SMT-2"/>
    <n v="1666.42"/>
  </r>
  <r>
    <x v="11"/>
    <s v="P0002"/>
    <n v="105.96497575862068"/>
    <n v="2986076694.7799997"/>
    <n v="211929951.51724136"/>
    <n v="7.0972708734413595E-2"/>
    <x v="1"/>
    <x v="0"/>
    <x v="11"/>
    <x v="0"/>
    <s v="SMT-2"/>
    <n v="0"/>
  </r>
  <r>
    <x v="11"/>
    <s v="P0003"/>
    <n v="720.80480965517245"/>
    <n v="3046398463.1999998"/>
    <n v="12071183.051724151"/>
    <n v="3.9624439145246717E-3"/>
    <x v="2"/>
    <x v="0"/>
    <x v="11"/>
    <x v="0"/>
    <s v="SMT-2"/>
    <n v="0"/>
  </r>
  <r>
    <x v="11"/>
    <s v="P0004"/>
    <n v="125.092"/>
    <n v="1965737708"/>
    <n v="57476848"/>
    <n v="2.923932718291224E-2"/>
    <x v="3"/>
    <x v="1"/>
    <x v="11"/>
    <x v="0"/>
    <s v="SMT-2"/>
    <n v="500"/>
  </r>
  <r>
    <x v="11"/>
    <s v="P0005"/>
    <n v="23.1"/>
    <n v="375000000"/>
    <n v="11250000"/>
    <n v="0.03"/>
    <x v="11"/>
    <x v="1"/>
    <x v="11"/>
    <x v="0"/>
    <s v="SMT-2"/>
    <n v="0"/>
  </r>
  <r>
    <x v="11"/>
    <s v="P0007"/>
    <n v="14"/>
    <n v="2484963000"/>
    <n v="333907000"/>
    <n v="0.13437101477969693"/>
    <x v="4"/>
    <x v="1"/>
    <x v="11"/>
    <x v="0"/>
    <s v="SMT-2"/>
    <n v="0"/>
  </r>
  <r>
    <x v="11"/>
    <s v="P0009"/>
    <n v="486.86953429781335"/>
    <n v="8722541056"/>
    <n v="254210414"/>
    <n v="2.9144077668185411E-2"/>
    <x v="6"/>
    <x v="2"/>
    <x v="11"/>
    <x v="0"/>
    <s v="SMT-2"/>
    <n v="426"/>
  </r>
  <r>
    <x v="11"/>
    <s v="P0010"/>
    <n v="10.859459999999999"/>
    <n v="148725197"/>
    <n v="11290062"/>
    <n v="7.5912234293426417E-2"/>
    <x v="7"/>
    <x v="2"/>
    <x v="11"/>
    <x v="0"/>
    <s v="SMT-2"/>
    <n v="0"/>
  </r>
  <r>
    <x v="11"/>
    <s v="P0011"/>
    <n v="965.94000000000062"/>
    <n v="18352860000.000011"/>
    <n v="734114400.00000048"/>
    <n v="0.04"/>
    <x v="9"/>
    <x v="3"/>
    <x v="11"/>
    <x v="0"/>
    <s v="SMT-2"/>
    <n v="157.58000000000001"/>
  </r>
  <r>
    <x v="12"/>
    <s v="P0001"/>
    <n v="55.184253571428577"/>
    <n v="1247154075.02"/>
    <n v="83530663.125"/>
    <n v="6.6977019758894238E-2"/>
    <x v="0"/>
    <x v="0"/>
    <x v="0"/>
    <x v="1"/>
    <s v="SMT-1"/>
    <n v="605"/>
  </r>
  <r>
    <x v="12"/>
    <s v="P0002"/>
    <n v="198.53577586206896"/>
    <n v="5757537500"/>
    <n v="287876875"/>
    <n v="0.05"/>
    <x v="1"/>
    <x v="0"/>
    <x v="0"/>
    <x v="1"/>
    <s v="SMT-1"/>
    <n v="0"/>
  </r>
  <r>
    <x v="12"/>
    <s v="P0012"/>
    <n v="2.1724722947368424"/>
    <n v="41276973.600000001"/>
    <n v="2063848.6799999997"/>
    <n v="4.9999999999999989E-2"/>
    <x v="10"/>
    <x v="0"/>
    <x v="0"/>
    <x v="1"/>
    <s v="SMT-1"/>
    <n v="0"/>
  </r>
  <r>
    <x v="12"/>
    <s v="P0003"/>
    <n v="594.88486315789464"/>
    <n v="2244323194"/>
    <n v="106585448.22831991"/>
    <n v="4.7491131630803755E-2"/>
    <x v="2"/>
    <x v="0"/>
    <x v="0"/>
    <x v="1"/>
    <s v="SMT-1"/>
    <n v="0"/>
  </r>
  <r>
    <x v="12"/>
    <s v="P0014"/>
    <n v="27.021450000000002"/>
    <n v="401326743"/>
    <n v="27021450"/>
    <n v="6.7330299989502573E-2"/>
    <x v="12"/>
    <x v="0"/>
    <x v="0"/>
    <x v="1"/>
    <s v="SMT-1"/>
    <n v="0"/>
  </r>
  <r>
    <x v="12"/>
    <s v="P0004"/>
    <n v="103.21899999999999"/>
    <n v="1604254949"/>
    <n v="29623853"/>
    <n v="1.8465801223468751E-2"/>
    <x v="3"/>
    <x v="1"/>
    <x v="0"/>
    <x v="1"/>
    <s v="SMT-1"/>
    <n v="150"/>
  </r>
  <r>
    <x v="12"/>
    <s v="P0005"/>
    <n v="38.5"/>
    <n v="625000000"/>
    <n v="31250000"/>
    <n v="0.05"/>
    <x v="11"/>
    <x v="1"/>
    <x v="0"/>
    <x v="1"/>
    <s v="SMT-1"/>
    <n v="0"/>
  </r>
  <r>
    <x v="12"/>
    <s v="P0009"/>
    <n v="378.07400621722854"/>
    <n v="6620606340"/>
    <n v="98429313"/>
    <n v="1.4867114573073983E-2"/>
    <x v="6"/>
    <x v="2"/>
    <x v="0"/>
    <x v="1"/>
    <s v="SMT-1"/>
    <n v="450"/>
  </r>
  <r>
    <x v="12"/>
    <s v="P0010"/>
    <n v="2.73"/>
    <n v="32666620"/>
    <n v="3026980"/>
    <n v="9.2662785436632256E-2"/>
    <x v="7"/>
    <x v="2"/>
    <x v="0"/>
    <x v="1"/>
    <s v="SMT-1"/>
    <n v="0"/>
  </r>
  <r>
    <x v="12"/>
    <s v="P0013"/>
    <n v="29.6968"/>
    <n v="382616638"/>
    <n v="20812242"/>
    <n v="5.4394503356647028E-2"/>
    <x v="8"/>
    <x v="2"/>
    <x v="0"/>
    <x v="1"/>
    <s v="SMT-1"/>
    <n v="0"/>
  </r>
  <r>
    <x v="12"/>
    <s v="P0011"/>
    <n v="0"/>
    <n v="0"/>
    <n v="0"/>
    <n v="0"/>
    <x v="9"/>
    <x v="3"/>
    <x v="0"/>
    <x v="1"/>
    <s v="SMT-1"/>
    <n v="225"/>
  </r>
  <r>
    <x v="13"/>
    <s v="P0001"/>
    <n v="19.955779999999997"/>
    <n v="452791695"/>
    <n v="29933670"/>
    <n v="6.6109140981483766E-2"/>
    <x v="0"/>
    <x v="0"/>
    <x v="1"/>
    <x v="1"/>
    <s v="SMT-1"/>
    <n v="605"/>
  </r>
  <r>
    <x v="13"/>
    <s v="P0002"/>
    <n v="26.952999999999999"/>
    <n v="510678491"/>
    <n v="38300886.824999988"/>
    <n v="7.4999999999999983E-2"/>
    <x v="1"/>
    <x v="0"/>
    <x v="1"/>
    <x v="1"/>
    <s v="SMT-1"/>
    <n v="0"/>
  </r>
  <r>
    <x v="13"/>
    <s v="P0003"/>
    <n v="491.16742099999999"/>
    <n v="7461264685"/>
    <n v="531432352.5"/>
    <n v="7.1225505988064278E-2"/>
    <x v="2"/>
    <x v="0"/>
    <x v="1"/>
    <x v="1"/>
    <s v="SMT-1"/>
    <n v="0"/>
  </r>
  <r>
    <x v="13"/>
    <s v="P0014"/>
    <n v="849.00599999999997"/>
    <n v="10942067592"/>
    <n v="169801200"/>
    <n v="1.5518200611751439E-2"/>
    <x v="12"/>
    <x v="0"/>
    <x v="1"/>
    <x v="1"/>
    <s v="SMT-1"/>
    <n v="0"/>
  </r>
  <r>
    <x v="13"/>
    <s v="P0004"/>
    <n v="81.084000000000003"/>
    <n v="1260227364"/>
    <n v="23271108"/>
    <n v="1.8465801223468751E-2"/>
    <x v="3"/>
    <x v="1"/>
    <x v="1"/>
    <x v="1"/>
    <s v="SMT-1"/>
    <n v="250"/>
  </r>
  <r>
    <x v="13"/>
    <s v="P0007"/>
    <n v="4"/>
    <n v="1978540000"/>
    <n v="104143200"/>
    <n v="5.263638844804755E-2"/>
    <x v="4"/>
    <x v="1"/>
    <x v="1"/>
    <x v="1"/>
    <s v="SMT-1"/>
    <n v="0"/>
  </r>
  <r>
    <x v="13"/>
    <s v="P0009"/>
    <n v="330.6720617977528"/>
    <n v="5690162179"/>
    <n v="83498891"/>
    <n v="1.4674255034093642E-2"/>
    <x v="6"/>
    <x v="2"/>
    <x v="1"/>
    <x v="1"/>
    <s v="SMT-1"/>
    <n v="450"/>
  </r>
  <r>
    <x v="13"/>
    <s v="P0010"/>
    <n v="7.508"/>
    <n v="92712235"/>
    <n v="8428451"/>
    <n v="9.0909802789243516E-2"/>
    <x v="7"/>
    <x v="2"/>
    <x v="1"/>
    <x v="1"/>
    <s v="SMT-1"/>
    <n v="0"/>
  </r>
  <r>
    <x v="13"/>
    <s v="P0011"/>
    <n v="169.3"/>
    <n v="2997173704"/>
    <n v="119886948.16"/>
    <n v="0.04"/>
    <x v="9"/>
    <x v="3"/>
    <x v="1"/>
    <x v="1"/>
    <s v="SMT-1"/>
    <n v="225"/>
  </r>
  <r>
    <x v="14"/>
    <s v="P0002"/>
    <n v="4.8"/>
    <n v="90945600"/>
    <n v="4547280"/>
    <n v="0.05"/>
    <x v="1"/>
    <x v="0"/>
    <x v="2"/>
    <x v="1"/>
    <s v="SMT-1"/>
    <n v="705"/>
  </r>
  <r>
    <x v="14"/>
    <s v="P0003"/>
    <n v="425.35668129032251"/>
    <n v="6604813617"/>
    <n v="530126720.8499999"/>
    <n v="8.0263691239600934E-2"/>
    <x v="2"/>
    <x v="0"/>
    <x v="2"/>
    <x v="1"/>
    <s v="SMT-1"/>
    <n v="0"/>
  </r>
  <r>
    <x v="14"/>
    <s v="P0004"/>
    <n v="159.84899999999999"/>
    <n v="2489715449"/>
    <n v="52424111"/>
    <n v="2.1056266097017742E-2"/>
    <x v="3"/>
    <x v="1"/>
    <x v="2"/>
    <x v="1"/>
    <s v="SMT-1"/>
    <n v="575"/>
  </r>
  <r>
    <x v="14"/>
    <s v="P0005"/>
    <n v="19.25"/>
    <n v="312500000"/>
    <n v="15625000"/>
    <n v="0.05"/>
    <x v="11"/>
    <x v="1"/>
    <x v="2"/>
    <x v="1"/>
    <s v="SMT-1"/>
    <n v="0"/>
  </r>
  <r>
    <x v="14"/>
    <s v="P0009"/>
    <n v="216.92221810205456"/>
    <n v="4082379212"/>
    <n v="60306221"/>
    <n v="1.4772322184752492E-2"/>
    <x v="6"/>
    <x v="2"/>
    <x v="2"/>
    <x v="1"/>
    <s v="SMT-1"/>
    <n v="450"/>
  </r>
  <r>
    <x v="14"/>
    <s v="P0010"/>
    <n v="7.7024999999999997"/>
    <n v="110600000"/>
    <n v="14163063.063063074"/>
    <n v="0.12805662805662815"/>
    <x v="7"/>
    <x v="2"/>
    <x v="2"/>
    <x v="1"/>
    <s v="SMT-1"/>
    <n v="0"/>
  </r>
  <r>
    <x v="14"/>
    <s v="P0011"/>
    <m/>
    <m/>
    <m/>
    <n v="0"/>
    <x v="9"/>
    <x v="3"/>
    <x v="2"/>
    <x v="1"/>
    <s v="SMT-1"/>
    <n v="250"/>
  </r>
  <r>
    <x v="15"/>
    <s v="P0002"/>
    <n v="175.17462012697192"/>
    <n v="4552788377.1000004"/>
    <n v="262761930.1904583"/>
    <n v="5.7714505579068959E-2"/>
    <x v="1"/>
    <x v="0"/>
    <x v="3"/>
    <x v="1"/>
    <s v="SMT-1"/>
    <n v="800"/>
  </r>
  <r>
    <x v="15"/>
    <s v="P0003"/>
    <n v="476.13958736842102"/>
    <n v="7979118774"/>
    <n v="573011393.6842103"/>
    <n v="7.1813869415175383E-2"/>
    <x v="2"/>
    <x v="0"/>
    <x v="3"/>
    <x v="1"/>
    <s v="SMT-1"/>
    <m/>
  </r>
  <r>
    <x v="15"/>
    <s v="P0004"/>
    <n v="0"/>
    <n v="0"/>
    <n v="0"/>
    <n v="0"/>
    <x v="3"/>
    <x v="1"/>
    <x v="3"/>
    <x v="1"/>
    <s v="SMT-1"/>
    <n v="550"/>
  </r>
  <r>
    <x v="15"/>
    <s v="P0005"/>
    <n v="0"/>
    <n v="0"/>
    <n v="0"/>
    <n v="0"/>
    <x v="11"/>
    <x v="1"/>
    <x v="3"/>
    <x v="1"/>
    <s v="SMT-1"/>
    <m/>
  </r>
  <r>
    <x v="15"/>
    <s v="P0007"/>
    <n v="0"/>
    <n v="0"/>
    <n v="0"/>
    <n v="0"/>
    <x v="4"/>
    <x v="1"/>
    <x v="3"/>
    <x v="1"/>
    <s v="SMT-1"/>
    <m/>
  </r>
  <r>
    <x v="15"/>
    <s v="P0009"/>
    <n v="284.70317705086131"/>
    <n v="5352419728.5561924"/>
    <n v="80286295.928342879"/>
    <n v="1.4999999999999999E-2"/>
    <x v="6"/>
    <x v="2"/>
    <x v="3"/>
    <x v="1"/>
    <s v="SMT-1"/>
    <n v="150"/>
  </r>
  <r>
    <x v="15"/>
    <s v="P0010"/>
    <n v="32.713560000000001"/>
    <n v="469733169.23076928"/>
    <n v="46973316.923076928"/>
    <n v="0.1"/>
    <x v="7"/>
    <x v="2"/>
    <x v="3"/>
    <x v="1"/>
    <s v="SMT-1"/>
    <m/>
  </r>
  <r>
    <x v="15"/>
    <s v="P0011"/>
    <n v="0"/>
    <n v="0"/>
    <n v="0"/>
    <n v="0"/>
    <x v="9"/>
    <x v="3"/>
    <x v="3"/>
    <x v="1"/>
    <s v="SMT-1"/>
    <n v="175"/>
  </r>
  <r>
    <x v="16"/>
    <s v="P0003"/>
    <n v="577.33724210526316"/>
    <n v="9294762864.512001"/>
    <n v="675992403.92559981"/>
    <n v="7.2728310961711784E-2"/>
    <x v="2"/>
    <x v="0"/>
    <x v="4"/>
    <x v="1"/>
    <s v="SMT-1"/>
    <n v="800"/>
  </r>
  <r>
    <x v="16"/>
    <s v="P0004"/>
    <n v="456"/>
    <n v="8396014800"/>
    <n v="113346199.80000001"/>
    <n v="1.3500000000000002E-2"/>
    <x v="3"/>
    <x v="1"/>
    <x v="4"/>
    <x v="1"/>
    <s v="SMT-1"/>
    <n v="750"/>
  </r>
  <r>
    <x v="16"/>
    <s v="P0005"/>
    <n v="7.7"/>
    <n v="125001800"/>
    <n v="585200"/>
    <n v="4.6815325859307626E-3"/>
    <x v="11"/>
    <x v="1"/>
    <x v="4"/>
    <x v="1"/>
    <s v="SMT-1"/>
    <m/>
  </r>
  <r>
    <x v="16"/>
    <s v="P0009"/>
    <n v="287.34297729308145"/>
    <n v="4818241221.4438095"/>
    <n v="69997872.071657121"/>
    <n v="1.4527681129813156E-2"/>
    <x v="6"/>
    <x v="2"/>
    <x v="4"/>
    <x v="1"/>
    <s v="SMT-1"/>
    <n v="450"/>
  </r>
  <r>
    <x v="16"/>
    <s v="P0010"/>
    <n v="0.88500000000000001"/>
    <n v="-16043042.230769277"/>
    <n v="-5240396.9951490052"/>
    <n v="0.32664608867626999"/>
    <x v="7"/>
    <x v="2"/>
    <x v="4"/>
    <x v="1"/>
    <s v="SMT-1"/>
    <m/>
  </r>
  <r>
    <x v="16"/>
    <s v="P0011"/>
    <n v="0"/>
    <n v="0"/>
    <n v="0"/>
    <n v="0"/>
    <x v="9"/>
    <x v="3"/>
    <x v="4"/>
    <x v="1"/>
    <s v="SMT-1"/>
    <n v="200"/>
  </r>
  <r>
    <x v="17"/>
    <s v="P0001"/>
    <n v="8.8680000000000003"/>
    <n v="202312064.06"/>
    <n v="13302000"/>
    <n v="6.5749909980924351E-2"/>
    <x v="0"/>
    <x v="0"/>
    <x v="5"/>
    <x v="1"/>
    <s v="SMT-1"/>
    <n v="900"/>
  </r>
  <r>
    <x v="17"/>
    <s v="P0002"/>
    <n v="205.05850590769228"/>
    <n v="6664401442"/>
    <n v="333220072.10000008"/>
    <n v="5.000000000000001E-2"/>
    <x v="1"/>
    <x v="0"/>
    <x v="5"/>
    <x v="1"/>
    <s v="SMT-1"/>
    <m/>
  </r>
  <r>
    <x v="17"/>
    <s v="P0012"/>
    <n v="138"/>
    <n v="3819060000"/>
    <n v="114571800"/>
    <n v="0.03"/>
    <x v="10"/>
    <x v="0"/>
    <x v="5"/>
    <x v="1"/>
    <s v="SMT-1"/>
    <m/>
  </r>
  <r>
    <x v="17"/>
    <s v="P0003"/>
    <n v="329.3264342857143"/>
    <n v="4648120729.4499998"/>
    <n v="299278517.52750003"/>
    <n v="6.4386993141400797E-2"/>
    <x v="2"/>
    <x v="0"/>
    <x v="5"/>
    <x v="1"/>
    <s v="SMT-1"/>
    <m/>
  </r>
  <r>
    <x v="17"/>
    <s v="P0004"/>
    <n v="262.03500000000003"/>
    <n v="5316840739"/>
    <n v="65246715"/>
    <n v="1.22717076179099E-2"/>
    <x v="3"/>
    <x v="1"/>
    <x v="5"/>
    <x v="1"/>
    <s v="SMT-1"/>
    <n v="775"/>
  </r>
  <r>
    <x v="17"/>
    <s v="P0009"/>
    <n v="216.82995956747564"/>
    <n v="3786322262"/>
    <n v="55901376"/>
    <n v="1.4764030141077305E-2"/>
    <x v="6"/>
    <x v="2"/>
    <x v="5"/>
    <x v="1"/>
    <s v="SMT-1"/>
    <n v="550"/>
  </r>
  <r>
    <x v="17"/>
    <s v="P0010"/>
    <n v="23.15814"/>
    <n v="325919258"/>
    <n v="51886375.117117152"/>
    <n v="0.15920008972626329"/>
    <x v="7"/>
    <x v="2"/>
    <x v="5"/>
    <x v="1"/>
    <s v="SMT-1"/>
    <m/>
  </r>
  <r>
    <x v="17"/>
    <s v="P0011"/>
    <n v="355"/>
    <n v="7796908600"/>
    <n v="311876344"/>
    <n v="0.04"/>
    <x v="9"/>
    <x v="3"/>
    <x v="5"/>
    <x v="1"/>
    <s v="SMT-1"/>
    <n v="300"/>
  </r>
  <r>
    <x v="18"/>
    <s v="P0001"/>
    <n v="78.16986"/>
    <n v="1783050180"/>
    <n v="178305018"/>
    <n v="0.1"/>
    <x v="0"/>
    <x v="0"/>
    <x v="6"/>
    <x v="1"/>
    <s v="SMT-2"/>
    <n v="900"/>
  </r>
  <r>
    <x v="18"/>
    <s v="P0002"/>
    <n v="280.17602720459905"/>
    <n v="6830823108"/>
    <n v="351541155.39999998"/>
    <n v="5.1463952417138185E-2"/>
    <x v="1"/>
    <x v="0"/>
    <x v="6"/>
    <x v="1"/>
    <s v="SMT-2"/>
    <m/>
  </r>
  <r>
    <x v="18"/>
    <s v="P0012"/>
    <n v="182.33786377358487"/>
    <n v="5790786500"/>
    <n v="579078650"/>
    <n v="0.1"/>
    <x v="10"/>
    <x v="0"/>
    <x v="6"/>
    <x v="1"/>
    <s v="SMT-2"/>
    <m/>
  </r>
  <r>
    <x v="18"/>
    <s v="P0003"/>
    <n v="170.19059336484534"/>
    <n v="3898229568.3600006"/>
    <n v="224534111.89999998"/>
    <n v="5.7598996663108859E-2"/>
    <x v="2"/>
    <x v="0"/>
    <x v="6"/>
    <x v="1"/>
    <s v="SMT-2"/>
    <m/>
  </r>
  <r>
    <x v="18"/>
    <s v="P0004"/>
    <n v="183.4"/>
    <n v="3644001096"/>
    <n v="45666600"/>
    <n v="1.2531994035382694E-2"/>
    <x v="3"/>
    <x v="1"/>
    <x v="6"/>
    <x v="1"/>
    <s v="SMT-2"/>
    <n v="775"/>
  </r>
  <r>
    <x v="18"/>
    <s v="P0005"/>
    <n v="19.25"/>
    <n v="312500000"/>
    <n v="1463000"/>
    <n v="4.6816000000000002E-3"/>
    <x v="11"/>
    <x v="1"/>
    <x v="6"/>
    <x v="1"/>
    <s v="SMT-2"/>
    <m/>
  </r>
  <r>
    <x v="18"/>
    <s v="P0009"/>
    <n v="320.02545850000001"/>
    <n v="5529247314.4419346"/>
    <n v="81713015.039681852"/>
    <n v="1.4778325220912844E-2"/>
    <x v="6"/>
    <x v="2"/>
    <x v="6"/>
    <x v="1"/>
    <s v="SMT-2"/>
    <n v="550"/>
  </r>
  <r>
    <x v="18"/>
    <s v="P0010"/>
    <n v="17.55"/>
    <n v="204324300"/>
    <n v="26756732.540540546"/>
    <n v="0.13095227802341938"/>
    <x v="7"/>
    <x v="2"/>
    <x v="6"/>
    <x v="1"/>
    <s v="SMT-2"/>
    <m/>
  </r>
  <r>
    <x v="18"/>
    <s v="P0013"/>
    <n v="6.8884799999999995"/>
    <n v="115137960"/>
    <n v="16186608.648648657"/>
    <n v="0.14058446622337809"/>
    <x v="8"/>
    <x v="2"/>
    <x v="6"/>
    <x v="1"/>
    <s v="SMT-2"/>
    <m/>
  </r>
  <r>
    <x v="18"/>
    <s v="P0011"/>
    <n v="0"/>
    <n v="0"/>
    <n v="0"/>
    <n v="0"/>
    <x v="9"/>
    <x v="3"/>
    <x v="6"/>
    <x v="1"/>
    <s v="SMT-2"/>
    <n v="300"/>
  </r>
  <r>
    <x v="19"/>
    <s v="P0001"/>
    <n v="84.387"/>
    <n v="1887079399.0000002"/>
    <n v="185651400"/>
    <n v="9.8380280182370841E-2"/>
    <x v="0"/>
    <x v="0"/>
    <x v="7"/>
    <x v="1"/>
    <s v="SMT-2"/>
    <n v="1000"/>
  </r>
  <r>
    <x v="19"/>
    <s v="P0002"/>
    <n v="323.55846695428875"/>
    <n v="10079582168.869999"/>
    <n v="785536447.56372833"/>
    <n v="7.7933433589121998E-2"/>
    <x v="1"/>
    <x v="0"/>
    <x v="7"/>
    <x v="1"/>
    <s v="SMT-2"/>
    <m/>
  </r>
  <r>
    <x v="19"/>
    <s v="P0012"/>
    <n v="12.4"/>
    <n v="395000000"/>
    <n v="18600000"/>
    <n v="4.7088607594936709E-2"/>
    <x v="10"/>
    <x v="0"/>
    <x v="7"/>
    <x v="1"/>
    <s v="SMT-2"/>
    <m/>
  </r>
  <r>
    <x v="19"/>
    <s v="P0003"/>
    <n v="241.12795"/>
    <n v="3373324244.7000008"/>
    <n v="252730837.5"/>
    <n v="7.4920410600041815E-2"/>
    <x v="2"/>
    <x v="0"/>
    <x v="7"/>
    <x v="1"/>
    <s v="SMT-2"/>
    <m/>
  </r>
  <r>
    <x v="19"/>
    <s v="P0004"/>
    <n v="258"/>
    <n v="5126239273.5441656"/>
    <n v="66641110.556074157"/>
    <n v="1.3000000000000001E-2"/>
    <x v="3"/>
    <x v="1"/>
    <x v="7"/>
    <x v="1"/>
    <s v="SMT-2"/>
    <n v="750"/>
  </r>
  <r>
    <x v="19"/>
    <s v="P0009"/>
    <n v="327.17774383357948"/>
    <n v="5677999638.7287912"/>
    <n v="83911324.71027714"/>
    <n v="1.477832512315261E-2"/>
    <x v="6"/>
    <x v="2"/>
    <x v="7"/>
    <x v="1"/>
    <s v="SMT-2"/>
    <n v="550"/>
  </r>
  <r>
    <x v="19"/>
    <s v="P0011"/>
    <n v="0"/>
    <n v="0"/>
    <n v="0"/>
    <n v="0"/>
    <x v="9"/>
    <x v="3"/>
    <x v="7"/>
    <x v="1"/>
    <s v="SMT-2"/>
    <n v="300"/>
  </r>
  <r>
    <x v="20"/>
    <s v="P0001"/>
    <n v="26.585999999999999"/>
    <n v="582399258.89999998"/>
    <n v="66465000"/>
    <n v="0.11412274137425074"/>
    <x v="0"/>
    <x v="0"/>
    <x v="8"/>
    <x v="1"/>
    <s v="SMT-2"/>
    <n v="1235"/>
  </r>
  <r>
    <x v="20"/>
    <s v="P0002"/>
    <n v="233.27564771368111"/>
    <n v="9337062842.5"/>
    <n v="1167009554.4378757"/>
    <n v="0.1249867944688063"/>
    <x v="1"/>
    <x v="0"/>
    <x v="8"/>
    <x v="1"/>
    <s v="SMT-2"/>
    <m/>
  </r>
  <r>
    <x v="20"/>
    <s v="P0012"/>
    <n v="0.6199968607753884"/>
    <n v="296250000"/>
    <n v="929995.29116308689"/>
    <n v="3.1392246115209683E-3"/>
    <x v="10"/>
    <x v="0"/>
    <x v="8"/>
    <x v="1"/>
    <s v="SMT-2"/>
    <m/>
  </r>
  <r>
    <x v="20"/>
    <s v="P0003"/>
    <n v="34.688749999999999"/>
    <n v="-1110997064.4000001"/>
    <n v="-28385012.035609722"/>
    <n v="2.5549133247205473E-2"/>
    <x v="2"/>
    <x v="0"/>
    <x v="8"/>
    <x v="1"/>
    <s v="SMT-2"/>
    <m/>
  </r>
  <r>
    <x v="20"/>
    <s v="P0004"/>
    <n v="671.55"/>
    <n v="12855079083.783783"/>
    <n v="167215950"/>
    <n v="1.3007772951855028E-2"/>
    <x v="3"/>
    <x v="1"/>
    <x v="8"/>
    <x v="1"/>
    <s v="SMT-2"/>
    <n v="675"/>
  </r>
  <r>
    <x v="20"/>
    <s v="P0009"/>
    <n v="368.10221621066449"/>
    <n v="6470696029.0211668"/>
    <n v="95626049.689967379"/>
    <n v="1.4778325123152617E-2"/>
    <x v="6"/>
    <x v="2"/>
    <x v="8"/>
    <x v="1"/>
    <s v="SMT-2"/>
    <n v="550"/>
  </r>
  <r>
    <x v="20"/>
    <s v="P0010"/>
    <n v="10.363800000000001"/>
    <n v="141185960"/>
    <n v="4910960"/>
    <n v="3.4783628627095782E-2"/>
    <x v="7"/>
    <x v="2"/>
    <x v="8"/>
    <x v="1"/>
    <s v="SMT-2"/>
    <m/>
  </r>
  <r>
    <x v="20"/>
    <s v="P0011"/>
    <n v="0"/>
    <n v="0"/>
    <n v="0"/>
    <n v="0"/>
    <x v="9"/>
    <x v="3"/>
    <x v="8"/>
    <x v="1"/>
    <s v="SMT-2"/>
    <n v="300"/>
  </r>
  <r>
    <x v="21"/>
    <s v="P0002"/>
    <n v="323.13863622334839"/>
    <n v="8379050520"/>
    <n v="946654045.74411035"/>
    <n v="0.11297867741512439"/>
    <x v="1"/>
    <x v="0"/>
    <x v="9"/>
    <x v="1"/>
    <s v="SMT-2"/>
    <n v="1300"/>
  </r>
  <r>
    <x v="21"/>
    <s v="P0012"/>
    <n v="23.087599999999998"/>
    <n v="648000000"/>
    <n v="34631400"/>
    <n v="5.3443518518518515E-2"/>
    <x v="10"/>
    <x v="0"/>
    <x v="9"/>
    <x v="1"/>
    <s v="SMT-2"/>
    <m/>
  </r>
  <r>
    <x v="21"/>
    <s v="P0003"/>
    <n v="338.54515190476189"/>
    <n v="4842312686.3544006"/>
    <n v="739660471.40476191"/>
    <n v="0.15274942353250326"/>
    <x v="2"/>
    <x v="0"/>
    <x v="9"/>
    <x v="1"/>
    <s v="SMT-2"/>
    <m/>
  </r>
  <r>
    <x v="21"/>
    <s v="P0014"/>
    <n v="989.19540000000006"/>
    <n v="12599859813.66"/>
    <n v="989195400.00000012"/>
    <n v="7.8508444905678612E-2"/>
    <x v="12"/>
    <x v="0"/>
    <x v="9"/>
    <x v="1"/>
    <s v="SMT-2"/>
    <m/>
  </r>
  <r>
    <x v="21"/>
    <s v="P0004"/>
    <n v="93.2"/>
    <n v="1669570231.5315313"/>
    <n v="23206800"/>
    <n v="1.3899864505078005E-2"/>
    <x v="3"/>
    <x v="1"/>
    <x v="9"/>
    <x v="1"/>
    <s v="SMT-2"/>
    <n v="650"/>
  </r>
  <r>
    <x v="21"/>
    <s v="P0009"/>
    <n v="437.0455525669127"/>
    <n v="7382923507.3509998"/>
    <n v="109107243.95099926"/>
    <n v="1.477832512315261E-2"/>
    <x v="6"/>
    <x v="2"/>
    <x v="9"/>
    <x v="1"/>
    <s v="SMT-2"/>
    <n v="550"/>
  </r>
  <r>
    <x v="21"/>
    <s v="P0011"/>
    <n v="0"/>
    <n v="0"/>
    <n v="0"/>
    <n v="0"/>
    <x v="9"/>
    <x v="3"/>
    <x v="9"/>
    <x v="1"/>
    <s v="SMT-2"/>
    <n v="300"/>
  </r>
  <r>
    <x v="22"/>
    <s v="P0001"/>
    <n v="25.231710000000003"/>
    <n v="458643713.60000002"/>
    <n v="50463420"/>
    <n v="0.11002749738768031"/>
    <x v="0"/>
    <x v="0"/>
    <x v="10"/>
    <x v="1"/>
    <s v="SMT-2"/>
    <n v="1475"/>
  </r>
  <r>
    <x v="22"/>
    <s v="P0002"/>
    <n v="295.88666590826489"/>
    <n v="10547132814.070002"/>
    <n v="701845649.97499418"/>
    <n v="6.6543738696333066E-2"/>
    <x v="1"/>
    <x v="0"/>
    <x v="10"/>
    <x v="1"/>
    <s v="SMT-2"/>
    <m/>
  </r>
  <r>
    <x v="22"/>
    <s v="P0012"/>
    <n v="34.631399999999999"/>
    <n v="972000000"/>
    <n v="51947100"/>
    <n v="5.3443518518518515E-2"/>
    <x v="10"/>
    <x v="0"/>
    <x v="10"/>
    <x v="1"/>
    <s v="SMT-2"/>
    <m/>
  </r>
  <r>
    <x v="22"/>
    <s v="P0003"/>
    <n v="300.52264526315793"/>
    <n v="5074196168.1599998"/>
    <n v="623362922.63157892"/>
    <n v="0.12284959074761632"/>
    <x v="2"/>
    <x v="0"/>
    <x v="10"/>
    <x v="1"/>
    <s v="SMT-2"/>
    <m/>
  </r>
  <r>
    <x v="22"/>
    <s v="P0004"/>
    <n v="100"/>
    <n v="1791384368.5960636"/>
    <n v="25079381.160344888"/>
    <n v="1.3999999999999999E-2"/>
    <x v="3"/>
    <x v="1"/>
    <x v="10"/>
    <x v="1"/>
    <s v="SMT-2"/>
    <n v="550"/>
  </r>
  <r>
    <x v="22"/>
    <s v="P0009"/>
    <n v="364.24962726004924"/>
    <n v="5986983513.9196606"/>
    <n v="88477588.875659451"/>
    <n v="1.4778325123152617E-2"/>
    <x v="6"/>
    <x v="2"/>
    <x v="10"/>
    <x v="1"/>
    <s v="SMT-2"/>
    <n v="550"/>
  </r>
  <r>
    <x v="22"/>
    <s v="P0010"/>
    <n v="1.518"/>
    <n v="20996884"/>
    <n v="2749139.8558558561"/>
    <n v="0.13093084935154456"/>
    <x v="7"/>
    <x v="2"/>
    <x v="10"/>
    <x v="1"/>
    <s v="SMT-2"/>
    <m/>
  </r>
  <r>
    <x v="22"/>
    <s v="P0011"/>
    <n v="0"/>
    <n v="0"/>
    <n v="0"/>
    <n v="0"/>
    <x v="9"/>
    <x v="3"/>
    <x v="10"/>
    <x v="1"/>
    <s v="SMT-2"/>
    <n v="300"/>
  </r>
  <r>
    <x v="23"/>
    <s v="P0001"/>
    <n v="16.001999999999999"/>
    <n v="368046000"/>
    <n v="40005000"/>
    <n v="0.10869565217391304"/>
    <x v="0"/>
    <x v="0"/>
    <x v="11"/>
    <x v="1"/>
    <s v="SMT-2"/>
    <n v="1575"/>
  </r>
  <r>
    <x v="23"/>
    <s v="P0002"/>
    <n v="-35.893562918020301"/>
    <n v="-834499774.4000001"/>
    <n v="-100729977.44000001"/>
    <n v="0.12070701578370613"/>
    <x v="1"/>
    <x v="0"/>
    <x v="11"/>
    <x v="1"/>
    <s v="SMT-2"/>
    <m/>
  </r>
  <r>
    <x v="23"/>
    <s v="P0012"/>
    <n v="9.3000000000000007"/>
    <n v="296250000"/>
    <n v="23250000"/>
    <n v="7.848101265822785E-2"/>
    <x v="10"/>
    <x v="0"/>
    <x v="11"/>
    <x v="1"/>
    <s v="SMT-2"/>
    <m/>
  </r>
  <r>
    <x v="23"/>
    <s v="P0003"/>
    <n v="1251.1953057602341"/>
    <n v="19543470383.450005"/>
    <n v="2556508408.8625731"/>
    <n v="0.13081138399183703"/>
    <x v="2"/>
    <x v="0"/>
    <x v="11"/>
    <x v="1"/>
    <s v="SMT-2"/>
    <m/>
  </r>
  <r>
    <x v="23"/>
    <s v="P0004"/>
    <n v="194"/>
    <n v="3387374277"/>
    <n v="48343350"/>
    <n v="1.4271629305402557E-2"/>
    <x v="3"/>
    <x v="1"/>
    <x v="11"/>
    <x v="1"/>
    <s v="SMT-2"/>
    <n v="575"/>
  </r>
  <r>
    <x v="23"/>
    <s v="P0009"/>
    <n v="376.60138737079581"/>
    <n v="6353009269.411768"/>
    <n v="93886837.013138741"/>
    <n v="1.4778325204904325E-2"/>
    <x v="6"/>
    <x v="2"/>
    <x v="11"/>
    <x v="1"/>
    <s v="SMT-2"/>
    <n v="150"/>
  </r>
  <r>
    <x v="23"/>
    <s v="P0011"/>
    <n v="0"/>
    <n v="0"/>
    <n v="0"/>
    <n v="0"/>
    <x v="9"/>
    <x v="3"/>
    <x v="11"/>
    <x v="1"/>
    <s v="SMT-2"/>
    <n v="225"/>
  </r>
  <r>
    <x v="24"/>
    <s v="P0001"/>
    <n v="12.229940000000001"/>
    <n v="274014772"/>
    <n v="24459880"/>
    <n v="8.9264822554894957E-2"/>
    <x v="0"/>
    <x v="0"/>
    <x v="0"/>
    <x v="2"/>
    <s v="SMT-1"/>
    <m/>
  </r>
  <r>
    <x v="24"/>
    <s v="P0002"/>
    <n v="20.283999999999999"/>
    <n v="507100000"/>
    <n v="25355000"/>
    <n v="0.05"/>
    <x v="1"/>
    <x v="0"/>
    <x v="0"/>
    <x v="2"/>
    <s v="SMT-1"/>
    <m/>
  </r>
  <r>
    <x v="24"/>
    <s v="P0012"/>
    <n v="9.3000000000000007"/>
    <n v="296250000"/>
    <n v="13950000"/>
    <n v="4.7088607594936709E-2"/>
    <x v="10"/>
    <x v="0"/>
    <x v="0"/>
    <x v="2"/>
    <s v="SMT-1"/>
    <m/>
  </r>
  <r>
    <x v="24"/>
    <s v="P0003"/>
    <n v="101.51039999999999"/>
    <n v="2244321462.48"/>
    <n v="199428000"/>
    <n v="8.8858928337133061E-2"/>
    <x v="2"/>
    <x v="0"/>
    <x v="0"/>
    <x v="2"/>
    <s v="SMT-1"/>
    <m/>
  </r>
  <r>
    <x v="24"/>
    <s v="P0014"/>
    <n v="0"/>
    <n v="0"/>
    <n v="0"/>
    <n v="0"/>
    <x v="12"/>
    <x v="0"/>
    <x v="0"/>
    <x v="2"/>
    <s v="SMT-1"/>
    <m/>
  </r>
  <r>
    <x v="24"/>
    <s v="P0004"/>
    <n v="64"/>
    <n v="979039135"/>
    <n v="15861300"/>
    <n v="1.6200884554017341E-2"/>
    <x v="3"/>
    <x v="1"/>
    <x v="0"/>
    <x v="2"/>
    <s v="SMT-1"/>
    <m/>
  </r>
  <r>
    <x v="24"/>
    <s v="P0005"/>
    <n v="0"/>
    <n v="0"/>
    <n v="0"/>
    <n v="0"/>
    <x v="11"/>
    <x v="1"/>
    <x v="0"/>
    <x v="2"/>
    <s v="SMT-1"/>
    <m/>
  </r>
  <r>
    <x v="24"/>
    <s v="P0007"/>
    <n v="0"/>
    <n v="0"/>
    <n v="0"/>
    <n v="0"/>
    <x v="4"/>
    <x v="1"/>
    <x v="0"/>
    <x v="2"/>
    <s v="SMT-1"/>
    <m/>
  </r>
  <r>
    <x v="24"/>
    <s v="P0009"/>
    <n v="271.52937878878834"/>
    <n v="4539854682.4099998"/>
    <n v="68097820.236149997"/>
    <n v="1.4999999999999999E-2"/>
    <x v="6"/>
    <x v="2"/>
    <x v="0"/>
    <x v="2"/>
    <s v="SMT-1"/>
    <m/>
  </r>
  <r>
    <x v="24"/>
    <s v="P0016"/>
    <n v="0"/>
    <n v="0"/>
    <n v="0"/>
    <n v="0"/>
    <x v="14"/>
    <x v="2"/>
    <x v="0"/>
    <x v="2"/>
    <s v="SMT-1"/>
    <m/>
  </r>
  <r>
    <x v="24"/>
    <s v="P0008"/>
    <n v="0"/>
    <n v="0"/>
    <n v="0"/>
    <n v="0"/>
    <x v="5"/>
    <x v="2"/>
    <x v="0"/>
    <x v="2"/>
    <s v="SMT-1"/>
    <m/>
  </r>
  <r>
    <x v="24"/>
    <s v="P0010"/>
    <n v="1.6759999999999999"/>
    <n v="25936100"/>
    <n v="5690020"/>
    <n v="0.21938610662358643"/>
    <x v="7"/>
    <x v="2"/>
    <x v="0"/>
    <x v="2"/>
    <s v="SMT-1"/>
    <m/>
  </r>
  <r>
    <x v="24"/>
    <s v="P0013"/>
    <n v="71.335070000000002"/>
    <n v="912630684.75"/>
    <n v="44877780.506400011"/>
    <n v="4.9174086797983935E-2"/>
    <x v="8"/>
    <x v="2"/>
    <x v="0"/>
    <x v="2"/>
    <s v="SMT-1"/>
    <m/>
  </r>
  <r>
    <x v="24"/>
    <s v="P0011"/>
    <n v="0"/>
    <n v="0"/>
    <n v="0"/>
    <n v="0"/>
    <x v="9"/>
    <x v="3"/>
    <x v="0"/>
    <x v="2"/>
    <s v="SMT-1"/>
    <m/>
  </r>
  <r>
    <x v="25"/>
    <s v="P0001"/>
    <n v="0"/>
    <n v="0"/>
    <n v="0"/>
    <n v="0"/>
    <x v="0"/>
    <x v="0"/>
    <x v="1"/>
    <x v="2"/>
    <s v="SMT-1"/>
    <m/>
  </r>
  <r>
    <x v="25"/>
    <s v="P0002"/>
    <n v="605.49787671710533"/>
    <n v="12675111281"/>
    <n v="605497876.71710527"/>
    <n v="4.7770616233148738E-2"/>
    <x v="1"/>
    <x v="0"/>
    <x v="1"/>
    <x v="2"/>
    <s v="SMT-1"/>
    <m/>
  </r>
  <r>
    <x v="25"/>
    <s v="P0012"/>
    <n v="12.4"/>
    <n v="395000000"/>
    <n v="12400000"/>
    <n v="3.1392405063291141E-2"/>
    <x v="10"/>
    <x v="0"/>
    <x v="1"/>
    <x v="2"/>
    <s v="SMT-1"/>
    <m/>
  </r>
  <r>
    <x v="25"/>
    <s v="P0003"/>
    <n v="164.10285789473687"/>
    <n v="2438531118.8000002"/>
    <n v="356298157.89473683"/>
    <n v="0.14611179457495335"/>
    <x v="2"/>
    <x v="0"/>
    <x v="1"/>
    <x v="2"/>
    <s v="SMT-1"/>
    <m/>
  </r>
  <r>
    <x v="25"/>
    <s v="P0014"/>
    <n v="0"/>
    <n v="0"/>
    <n v="0"/>
    <n v="0"/>
    <x v="12"/>
    <x v="0"/>
    <x v="1"/>
    <x v="2"/>
    <s v="SMT-1"/>
    <m/>
  </r>
  <r>
    <x v="25"/>
    <s v="P0004"/>
    <n v="194"/>
    <n v="3350711687"/>
    <n v="48398130"/>
    <n v="1.4444134417107192E-2"/>
    <x v="3"/>
    <x v="1"/>
    <x v="1"/>
    <x v="2"/>
    <s v="SMT-1"/>
    <m/>
  </r>
  <r>
    <x v="25"/>
    <s v="P0005"/>
    <n v="0"/>
    <n v="0"/>
    <n v="0"/>
    <n v="0"/>
    <x v="11"/>
    <x v="1"/>
    <x v="1"/>
    <x v="2"/>
    <s v="SMT-1"/>
    <m/>
  </r>
  <r>
    <x v="25"/>
    <s v="P0007"/>
    <n v="101"/>
    <n v="7914861631"/>
    <n v="2642350040"/>
    <n v="0.33384664990866725"/>
    <x v="4"/>
    <x v="1"/>
    <x v="1"/>
    <x v="2"/>
    <s v="SMT-1"/>
    <m/>
  </r>
  <r>
    <x v="25"/>
    <s v="P0006"/>
    <n v="998"/>
    <n v="14078574228"/>
    <n v="2994405000"/>
    <n v="0.21269234735749123"/>
    <x v="15"/>
    <x v="1"/>
    <x v="1"/>
    <x v="2"/>
    <s v="SMT-1"/>
    <m/>
  </r>
  <r>
    <x v="25"/>
    <s v="P0009"/>
    <n v="216.95636244011487"/>
    <n v="3717059850.6862583"/>
    <n v="54931918.975658618"/>
    <n v="1.477832512315261E-2"/>
    <x v="6"/>
    <x v="2"/>
    <x v="1"/>
    <x v="2"/>
    <s v="SMT-1"/>
    <m/>
  </r>
  <r>
    <x v="25"/>
    <s v="P0016"/>
    <n v="0"/>
    <n v="0"/>
    <n v="0"/>
    <n v="0"/>
    <x v="14"/>
    <x v="2"/>
    <x v="1"/>
    <x v="2"/>
    <s v="SMT-1"/>
    <m/>
  </r>
  <r>
    <x v="25"/>
    <s v="P0008"/>
    <n v="0"/>
    <n v="0"/>
    <n v="0"/>
    <n v="0"/>
    <x v="5"/>
    <x v="2"/>
    <x v="1"/>
    <x v="2"/>
    <s v="SMT-1"/>
    <m/>
  </r>
  <r>
    <x v="25"/>
    <s v="P0010"/>
    <n v="3.0649999999999999"/>
    <n v="38651610"/>
    <n v="3514189"/>
    <n v="9.0919602055386572E-2"/>
    <x v="7"/>
    <x v="2"/>
    <x v="1"/>
    <x v="2"/>
    <s v="SMT-1"/>
    <m/>
  </r>
  <r>
    <x v="25"/>
    <s v="P0013"/>
    <n v="128.02979999999999"/>
    <n v="1888065028"/>
    <n v="195964576"/>
    <n v="0.10379122175022883"/>
    <x v="8"/>
    <x v="2"/>
    <x v="1"/>
    <x v="2"/>
    <s v="SMT-1"/>
    <m/>
  </r>
  <r>
    <x v="25"/>
    <s v="P0011"/>
    <n v="0"/>
    <n v="0"/>
    <n v="0"/>
    <n v="0"/>
    <x v="9"/>
    <x v="3"/>
    <x v="1"/>
    <x v="2"/>
    <s v="SMT-1"/>
    <m/>
  </r>
  <r>
    <x v="26"/>
    <s v="P0001"/>
    <n v="27.303619999999995"/>
    <n v="646391564"/>
    <n v="54607240"/>
    <n v="8.4480124805589196E-2"/>
    <x v="0"/>
    <x v="0"/>
    <x v="2"/>
    <x v="2"/>
    <s v="SMT-1"/>
    <m/>
  </r>
  <r>
    <x v="26"/>
    <s v="P0002"/>
    <n v="150.33570078124998"/>
    <n v="2588842425"/>
    <n v="164116042.5"/>
    <n v="6.3393600520124355E-2"/>
    <x v="1"/>
    <x v="0"/>
    <x v="2"/>
    <x v="2"/>
    <s v="SMT-1"/>
    <m/>
  </r>
  <r>
    <x v="26"/>
    <s v="P0012"/>
    <n v="0"/>
    <n v="0"/>
    <n v="0"/>
    <n v="0"/>
    <x v="10"/>
    <x v="0"/>
    <x v="2"/>
    <x v="2"/>
    <s v="SMT-1"/>
    <m/>
  </r>
  <r>
    <x v="26"/>
    <s v="P0003"/>
    <n v="503.70380526315796"/>
    <n v="3577819941.8000002"/>
    <n v="449621928.29000002"/>
    <n v="0.12566924428952547"/>
    <x v="2"/>
    <x v="0"/>
    <x v="2"/>
    <x v="2"/>
    <s v="SMT-1"/>
    <m/>
  </r>
  <r>
    <x v="26"/>
    <s v="P0014"/>
    <n v="0"/>
    <n v="0"/>
    <n v="0"/>
    <n v="0"/>
    <x v="12"/>
    <x v="0"/>
    <x v="2"/>
    <x v="2"/>
    <s v="SMT-1"/>
    <m/>
  </r>
  <r>
    <x v="26"/>
    <s v="P0004"/>
    <n v="366"/>
    <n v="6906941243.636363"/>
    <n v="91035894"/>
    <n v="1.3180348693985917E-2"/>
    <x v="3"/>
    <x v="1"/>
    <x v="2"/>
    <x v="2"/>
    <s v="SMT-1"/>
    <m/>
  </r>
  <r>
    <x v="26"/>
    <s v="P0005"/>
    <n v="0"/>
    <n v="0"/>
    <n v="0"/>
    <n v="0"/>
    <x v="11"/>
    <x v="1"/>
    <x v="2"/>
    <x v="2"/>
    <s v="SMT-1"/>
    <m/>
  </r>
  <r>
    <x v="26"/>
    <s v="P0007"/>
    <n v="0"/>
    <n v="0"/>
    <n v="0"/>
    <n v="0"/>
    <x v="4"/>
    <x v="1"/>
    <x v="2"/>
    <x v="2"/>
    <s v="SMT-1"/>
    <m/>
  </r>
  <r>
    <x v="26"/>
    <s v="P0009"/>
    <n v="271.65959426004923"/>
    <n v="4546252283.4891777"/>
    <n v="67185994.337278053"/>
    <n v="1.4778325123152613E-2"/>
    <x v="6"/>
    <x v="2"/>
    <x v="2"/>
    <x v="2"/>
    <s v="SMT-1"/>
    <m/>
  </r>
  <r>
    <x v="26"/>
    <s v="P0016"/>
    <n v="0"/>
    <n v="0"/>
    <n v="0"/>
    <n v="0"/>
    <x v="14"/>
    <x v="2"/>
    <x v="2"/>
    <x v="2"/>
    <s v="SMT-1"/>
    <m/>
  </r>
  <r>
    <x v="26"/>
    <s v="P0008"/>
    <n v="0"/>
    <n v="0"/>
    <n v="0"/>
    <n v="0"/>
    <x v="5"/>
    <x v="2"/>
    <x v="2"/>
    <x v="2"/>
    <s v="SMT-1"/>
    <m/>
  </r>
  <r>
    <x v="26"/>
    <s v="P0010"/>
    <n v="0"/>
    <n v="0"/>
    <n v="0"/>
    <n v="0"/>
    <x v="7"/>
    <x v="2"/>
    <x v="2"/>
    <x v="2"/>
    <s v="SMT-1"/>
    <m/>
  </r>
  <r>
    <x v="26"/>
    <s v="P0013"/>
    <n v="95.381"/>
    <n v="1482950365"/>
    <n v="170307198"/>
    <n v="0.11484349174424324"/>
    <x v="8"/>
    <x v="2"/>
    <x v="2"/>
    <x v="2"/>
    <s v="SMT-1"/>
    <m/>
  </r>
  <r>
    <x v="26"/>
    <s v="P0011"/>
    <n v="0"/>
    <n v="0"/>
    <n v="0"/>
    <n v="0"/>
    <x v="9"/>
    <x v="3"/>
    <x v="2"/>
    <x v="2"/>
    <s v="SMT-1"/>
    <m/>
  </r>
  <r>
    <x v="27"/>
    <s v="P0001"/>
    <n v="0"/>
    <n v="0"/>
    <n v="0"/>
    <n v="0"/>
    <x v="0"/>
    <x v="0"/>
    <x v="3"/>
    <x v="2"/>
    <s v="SMT-1"/>
    <m/>
  </r>
  <r>
    <x v="27"/>
    <s v="P0002"/>
    <n v="183.98029621875"/>
    <n v="5887369479"/>
    <n v="470989558.31999969"/>
    <n v="7.9999999999999946E-2"/>
    <x v="1"/>
    <x v="0"/>
    <x v="3"/>
    <x v="2"/>
    <s v="SMT-1"/>
    <m/>
  </r>
  <r>
    <x v="27"/>
    <s v="P0012"/>
    <n v="0"/>
    <n v="0"/>
    <n v="0"/>
    <n v="0"/>
    <x v="10"/>
    <x v="0"/>
    <x v="3"/>
    <x v="2"/>
    <s v="SMT-1"/>
    <m/>
  </r>
  <r>
    <x v="27"/>
    <s v="P0003"/>
    <n v="24.8064"/>
    <n v="406328100"/>
    <n v="59495999.99999994"/>
    <n v="0.14642354294472851"/>
    <x v="2"/>
    <x v="0"/>
    <x v="3"/>
    <x v="2"/>
    <s v="SMT-1"/>
    <m/>
  </r>
  <r>
    <x v="27"/>
    <s v="P0014"/>
    <n v="0"/>
    <n v="0"/>
    <n v="0"/>
    <n v="0"/>
    <x v="12"/>
    <x v="0"/>
    <x v="3"/>
    <x v="2"/>
    <s v="SMT-1"/>
    <m/>
  </r>
  <r>
    <x v="27"/>
    <s v="P0004"/>
    <n v="80.334000000000003"/>
    <n v="1414151180.9090908"/>
    <n v="20003166"/>
    <n v="1.4144998264712343E-2"/>
    <x v="3"/>
    <x v="1"/>
    <x v="3"/>
    <x v="2"/>
    <s v="SMT-1"/>
    <m/>
  </r>
  <r>
    <x v="27"/>
    <s v="P0005"/>
    <n v="0"/>
    <n v="0"/>
    <n v="0"/>
    <n v="0"/>
    <x v="11"/>
    <x v="1"/>
    <x v="3"/>
    <x v="2"/>
    <s v="SMT-1"/>
    <m/>
  </r>
  <r>
    <x v="27"/>
    <s v="P0007"/>
    <n v="0"/>
    <n v="0"/>
    <n v="0"/>
    <n v="0"/>
    <x v="4"/>
    <x v="1"/>
    <x v="3"/>
    <x v="2"/>
    <s v="SMT-1"/>
    <m/>
  </r>
  <r>
    <x v="27"/>
    <s v="P0006"/>
    <n v="0"/>
    <n v="0"/>
    <n v="0"/>
    <n v="0"/>
    <x v="15"/>
    <x v="1"/>
    <x v="3"/>
    <x v="2"/>
    <s v="SMT-1"/>
    <m/>
  </r>
  <r>
    <x v="27"/>
    <s v="P0009"/>
    <n v="181.28800049999998"/>
    <n v="3083249412.1261697"/>
    <n v="45565262.248169653"/>
    <n v="1.4778325123152598E-2"/>
    <x v="6"/>
    <x v="2"/>
    <x v="3"/>
    <x v="2"/>
    <s v="SMT-1"/>
    <m/>
  </r>
  <r>
    <x v="27"/>
    <s v="P0016"/>
    <n v="0"/>
    <n v="0"/>
    <n v="0"/>
    <n v="0"/>
    <x v="14"/>
    <x v="2"/>
    <x v="3"/>
    <x v="2"/>
    <s v="SMT-1"/>
    <m/>
  </r>
  <r>
    <x v="27"/>
    <s v="P0008"/>
    <n v="0"/>
    <n v="0"/>
    <n v="0"/>
    <n v="0"/>
    <x v="5"/>
    <x v="2"/>
    <x v="3"/>
    <x v="2"/>
    <s v="SMT-1"/>
    <m/>
  </r>
  <r>
    <x v="27"/>
    <s v="P0010"/>
    <n v="0"/>
    <n v="0"/>
    <n v="0"/>
    <n v="0"/>
    <x v="7"/>
    <x v="2"/>
    <x v="3"/>
    <x v="2"/>
    <s v="SMT-1"/>
    <m/>
  </r>
  <r>
    <x v="27"/>
    <s v="P0013"/>
    <n v="5.6553500000000003"/>
    <n v="79321052"/>
    <n v="-2500080"/>
    <n v="-3.1518492719940228E-2"/>
    <x v="8"/>
    <x v="2"/>
    <x v="3"/>
    <x v="2"/>
    <s v="SMT-1"/>
    <m/>
  </r>
  <r>
    <x v="27"/>
    <s v="P0011"/>
    <n v="0"/>
    <n v="0"/>
    <n v="0"/>
    <n v="0"/>
    <x v="9"/>
    <x v="3"/>
    <x v="3"/>
    <x v="2"/>
    <s v="SMT-1"/>
    <m/>
  </r>
  <r>
    <x v="28"/>
    <s v="P0001"/>
    <n v="7.5430000000000001"/>
    <n v="180656240"/>
    <n v="14524800"/>
    <n v="8.0400212026996681E-2"/>
    <x v="0"/>
    <x v="0"/>
    <x v="4"/>
    <x v="2"/>
    <s v="SMT-1"/>
    <m/>
  </r>
  <r>
    <x v="28"/>
    <s v="P0002"/>
    <n v="215.66829842499999"/>
    <n v="9058068533.8499985"/>
    <n v="452903426.69250005"/>
    <n v="5.0000000000000017E-2"/>
    <x v="1"/>
    <x v="0"/>
    <x v="4"/>
    <x v="2"/>
    <s v="SMT-1"/>
    <m/>
  </r>
  <r>
    <x v="28"/>
    <s v="P0012"/>
    <n v="0"/>
    <n v="0"/>
    <n v="0"/>
    <n v="0"/>
    <x v="10"/>
    <x v="0"/>
    <x v="4"/>
    <x v="2"/>
    <s v="SMT-1"/>
    <m/>
  </r>
  <r>
    <x v="28"/>
    <s v="P0003"/>
    <n v="369.6506"/>
    <n v="3135625600"/>
    <n v="205693360.00000024"/>
    <n v="6.5598826594603712E-2"/>
    <x v="2"/>
    <x v="0"/>
    <x v="4"/>
    <x v="2"/>
    <s v="SMT-1"/>
    <m/>
  </r>
  <r>
    <x v="28"/>
    <s v="P0014"/>
    <n v="0"/>
    <n v="0"/>
    <n v="0"/>
    <n v="0"/>
    <x v="12"/>
    <x v="0"/>
    <x v="4"/>
    <x v="2"/>
    <s v="SMT-1"/>
    <m/>
  </r>
  <r>
    <x v="28"/>
    <s v="P0004"/>
    <n v="144.71799999999999"/>
    <n v="2605579451.8181815"/>
    <n v="36034782"/>
    <n v="1.3829853461138871E-2"/>
    <x v="3"/>
    <x v="1"/>
    <x v="4"/>
    <x v="2"/>
    <s v="SMT-1"/>
    <m/>
  </r>
  <r>
    <x v="28"/>
    <s v="P0005"/>
    <n v="0"/>
    <n v="0"/>
    <n v="0"/>
    <n v="0"/>
    <x v="11"/>
    <x v="1"/>
    <x v="4"/>
    <x v="2"/>
    <s v="SMT-1"/>
    <m/>
  </r>
  <r>
    <x v="28"/>
    <s v="P0007"/>
    <n v="0"/>
    <n v="0"/>
    <n v="0"/>
    <n v="0"/>
    <x v="4"/>
    <x v="1"/>
    <x v="4"/>
    <x v="2"/>
    <s v="SMT-1"/>
    <m/>
  </r>
  <r>
    <x v="28"/>
    <s v="P0006"/>
    <n v="1494.181"/>
    <n v="18780411873"/>
    <n v="2594406960"/>
    <n v="0.13814430575560999"/>
    <x v="15"/>
    <x v="1"/>
    <x v="4"/>
    <x v="2"/>
    <s v="SMT-1"/>
    <m/>
  </r>
  <r>
    <x v="28"/>
    <s v="P0009"/>
    <n v="256.89910250000003"/>
    <n v="4249173173.3239603"/>
    <n v="62795662.65995954"/>
    <n v="1.4778325123152599E-2"/>
    <x v="6"/>
    <x v="2"/>
    <x v="4"/>
    <x v="2"/>
    <s v="SMT-1"/>
    <m/>
  </r>
  <r>
    <x v="28"/>
    <s v="P0016"/>
    <n v="0"/>
    <n v="0"/>
    <n v="0"/>
    <n v="0"/>
    <x v="14"/>
    <x v="2"/>
    <x v="4"/>
    <x v="2"/>
    <s v="SMT-1"/>
    <m/>
  </r>
  <r>
    <x v="28"/>
    <s v="P0008"/>
    <n v="0"/>
    <n v="0"/>
    <n v="0"/>
    <n v="0"/>
    <x v="5"/>
    <x v="2"/>
    <x v="4"/>
    <x v="2"/>
    <s v="SMT-1"/>
    <m/>
  </r>
  <r>
    <x v="28"/>
    <s v="P0010"/>
    <n v="0"/>
    <n v="0"/>
    <n v="0"/>
    <n v="0"/>
    <x v="7"/>
    <x v="2"/>
    <x v="4"/>
    <x v="2"/>
    <s v="SMT-1"/>
    <m/>
  </r>
  <r>
    <x v="28"/>
    <s v="P0013"/>
    <n v="0"/>
    <n v="0"/>
    <n v="0"/>
    <n v="0"/>
    <x v="8"/>
    <x v="2"/>
    <x v="4"/>
    <x v="2"/>
    <s v="SMT-1"/>
    <m/>
  </r>
  <r>
    <x v="28"/>
    <s v="P0011"/>
    <n v="0"/>
    <n v="0"/>
    <n v="0"/>
    <n v="0"/>
    <x v="9"/>
    <x v="3"/>
    <x v="4"/>
    <x v="2"/>
    <s v="SMT-1"/>
    <m/>
  </r>
  <r>
    <x v="29"/>
    <s v="P0001"/>
    <n v="0"/>
    <n v="0"/>
    <n v="0"/>
    <n v="0"/>
    <x v="0"/>
    <x v="0"/>
    <x v="5"/>
    <x v="2"/>
    <s v="SMT-1"/>
    <m/>
  </r>
  <r>
    <x v="29"/>
    <s v="P0002"/>
    <n v="-90.577072725000022"/>
    <n v="-2536158036.2999992"/>
    <n v="-211107643.23500058"/>
    <n v="8.3239151588118496E-2"/>
    <x v="1"/>
    <x v="0"/>
    <x v="5"/>
    <x v="2"/>
    <s v="SMT-1"/>
    <m/>
  </r>
  <r>
    <x v="29"/>
    <s v="P0012"/>
    <n v="0"/>
    <n v="0"/>
    <n v="0"/>
    <n v="0"/>
    <x v="10"/>
    <x v="0"/>
    <x v="5"/>
    <x v="2"/>
    <s v="SMT-1"/>
    <m/>
  </r>
  <r>
    <x v="29"/>
    <s v="P0003"/>
    <n v="16.5624"/>
    <n v="291067960"/>
    <n v="183704400"/>
    <n v="0.6311392019925518"/>
    <x v="2"/>
    <x v="0"/>
    <x v="5"/>
    <x v="2"/>
    <s v="SMT-1"/>
    <m/>
  </r>
  <r>
    <x v="29"/>
    <s v="P0014"/>
    <n v="0"/>
    <n v="0"/>
    <n v="0"/>
    <n v="0"/>
    <x v="12"/>
    <x v="0"/>
    <x v="5"/>
    <x v="2"/>
    <s v="SMT-1"/>
    <m/>
  </r>
  <r>
    <x v="29"/>
    <s v="P0004"/>
    <n v="362.84199999999998"/>
    <n v="6498272224.545454"/>
    <n v="90347658"/>
    <n v="1.3903335360241808E-2"/>
    <x v="3"/>
    <x v="1"/>
    <x v="5"/>
    <x v="2"/>
    <s v="SMT-1"/>
    <m/>
  </r>
  <r>
    <x v="29"/>
    <s v="P0005"/>
    <n v="0"/>
    <n v="0"/>
    <n v="0"/>
    <n v="0"/>
    <x v="11"/>
    <x v="1"/>
    <x v="5"/>
    <x v="2"/>
    <s v="SMT-1"/>
    <m/>
  </r>
  <r>
    <x v="29"/>
    <s v="P0007"/>
    <n v="0"/>
    <n v="0"/>
    <n v="0"/>
    <n v="0"/>
    <x v="4"/>
    <x v="1"/>
    <x v="5"/>
    <x v="2"/>
    <s v="SMT-1"/>
    <m/>
  </r>
  <r>
    <x v="29"/>
    <s v="P0006"/>
    <n v="501.43200000000002"/>
    <n v="5337262476"/>
    <n v="200572800"/>
    <n v="3.7579714488825154E-2"/>
    <x v="15"/>
    <x v="1"/>
    <x v="5"/>
    <x v="2"/>
    <s v="SMT-1"/>
    <m/>
  </r>
  <r>
    <x v="29"/>
    <s v="P0009"/>
    <n v="246.90428538022971"/>
    <n v="4106649798.1878486"/>
    <n v="60689405.884549074"/>
    <n v="1.477832512315261E-2"/>
    <x v="6"/>
    <x v="2"/>
    <x v="5"/>
    <x v="2"/>
    <s v="SMT-1"/>
    <m/>
  </r>
  <r>
    <x v="29"/>
    <s v="P0016"/>
    <n v="0"/>
    <n v="0"/>
    <n v="0"/>
    <n v="0"/>
    <x v="14"/>
    <x v="2"/>
    <x v="5"/>
    <x v="2"/>
    <s v="SMT-1"/>
    <m/>
  </r>
  <r>
    <x v="29"/>
    <s v="P0008"/>
    <n v="0"/>
    <n v="0"/>
    <n v="0"/>
    <n v="0"/>
    <x v="5"/>
    <x v="2"/>
    <x v="5"/>
    <x v="2"/>
    <s v="SMT-1"/>
    <m/>
  </r>
  <r>
    <x v="29"/>
    <s v="P0010"/>
    <n v="0"/>
    <n v="0"/>
    <n v="0"/>
    <n v="0"/>
    <x v="7"/>
    <x v="2"/>
    <x v="5"/>
    <x v="2"/>
    <s v="SMT-1"/>
    <m/>
  </r>
  <r>
    <x v="29"/>
    <s v="P0013"/>
    <n v="0"/>
    <n v="0"/>
    <n v="0"/>
    <n v="0"/>
    <x v="8"/>
    <x v="2"/>
    <x v="5"/>
    <x v="2"/>
    <s v="SMT-1"/>
    <m/>
  </r>
  <r>
    <x v="29"/>
    <s v="P0011"/>
    <n v="0"/>
    <n v="0"/>
    <n v="0"/>
    <n v="0"/>
    <x v="9"/>
    <x v="3"/>
    <x v="5"/>
    <x v="2"/>
    <s v="SMT-1"/>
    <m/>
  </r>
  <r>
    <x v="30"/>
    <s v="P0001"/>
    <n v="0"/>
    <n v="0"/>
    <n v="0"/>
    <n v="0"/>
    <x v="0"/>
    <x v="0"/>
    <x v="6"/>
    <x v="2"/>
    <s v="SMT-2"/>
    <m/>
  </r>
  <r>
    <x v="30"/>
    <s v="P0002"/>
    <n v="143.38989114285715"/>
    <n v="5078871190"/>
    <n v="20287500"/>
    <n v="3.9944899646096356E-3"/>
    <x v="1"/>
    <x v="0"/>
    <x v="6"/>
    <x v="2"/>
    <s v="SMT-2"/>
    <m/>
  </r>
  <r>
    <x v="30"/>
    <s v="P0012"/>
    <n v="0"/>
    <n v="0"/>
    <n v="0"/>
    <n v="0"/>
    <x v="10"/>
    <x v="0"/>
    <x v="6"/>
    <x v="2"/>
    <s v="SMT-2"/>
    <m/>
  </r>
  <r>
    <x v="30"/>
    <s v="P0003"/>
    <n v="263.46837799999986"/>
    <n v="2314560686.7012987"/>
    <n v="-291266995.29869914"/>
    <n v="-0.12584115723222256"/>
    <x v="2"/>
    <x v="0"/>
    <x v="6"/>
    <x v="2"/>
    <s v="SMT-2"/>
    <m/>
  </r>
  <r>
    <x v="30"/>
    <s v="P0014"/>
    <n v="0"/>
    <n v="0"/>
    <n v="0"/>
    <n v="0"/>
    <x v="12"/>
    <x v="0"/>
    <x v="6"/>
    <x v="2"/>
    <s v="SMT-2"/>
    <m/>
  </r>
  <r>
    <x v="30"/>
    <s v="P0004"/>
    <n v="300"/>
    <n v="5372811491.9541731"/>
    <n v="74700000"/>
    <n v="1.3903335360241808E-2"/>
    <x v="3"/>
    <x v="1"/>
    <x v="6"/>
    <x v="2"/>
    <s v="SMT-2"/>
    <m/>
  </r>
  <r>
    <x v="30"/>
    <s v="P0005"/>
    <n v="0"/>
    <n v="0"/>
    <n v="0"/>
    <n v="0"/>
    <x v="11"/>
    <x v="1"/>
    <x v="6"/>
    <x v="2"/>
    <s v="SMT-2"/>
    <m/>
  </r>
  <r>
    <x v="30"/>
    <s v="P0007"/>
    <n v="0"/>
    <n v="0"/>
    <n v="0"/>
    <n v="0"/>
    <x v="4"/>
    <x v="1"/>
    <x v="6"/>
    <x v="2"/>
    <s v="SMT-2"/>
    <m/>
  </r>
  <r>
    <x v="30"/>
    <s v="P0006"/>
    <n v="0"/>
    <n v="0"/>
    <n v="0"/>
    <n v="0"/>
    <x v="15"/>
    <x v="1"/>
    <x v="6"/>
    <x v="2"/>
    <s v="SMT-2"/>
    <m/>
  </r>
  <r>
    <x v="30"/>
    <s v="P0009"/>
    <n v="377.35490148954051"/>
    <n v="6333201932.7659922"/>
    <n v="93594117.232994378"/>
    <n v="1.4778325123152618E-2"/>
    <x v="6"/>
    <x v="2"/>
    <x v="6"/>
    <x v="2"/>
    <s v="SMT-2"/>
    <m/>
  </r>
  <r>
    <x v="30"/>
    <s v="P0016"/>
    <n v="0"/>
    <n v="0"/>
    <n v="0"/>
    <n v="0"/>
    <x v="14"/>
    <x v="2"/>
    <x v="6"/>
    <x v="2"/>
    <s v="SMT-2"/>
    <m/>
  </r>
  <r>
    <x v="30"/>
    <s v="P0008"/>
    <n v="0"/>
    <n v="0"/>
    <n v="0"/>
    <n v="0"/>
    <x v="5"/>
    <x v="2"/>
    <x v="6"/>
    <x v="2"/>
    <s v="SMT-2"/>
    <m/>
  </r>
  <r>
    <x v="30"/>
    <s v="P0010"/>
    <n v="0"/>
    <n v="0"/>
    <n v="0"/>
    <n v="0"/>
    <x v="7"/>
    <x v="2"/>
    <x v="6"/>
    <x v="2"/>
    <s v="SMT-2"/>
    <m/>
  </r>
  <r>
    <x v="30"/>
    <s v="P0013"/>
    <n v="57.728999999999999"/>
    <n v="640466361"/>
    <n v="28699446"/>
    <n v="4.4810231649309057E-2"/>
    <x v="8"/>
    <x v="2"/>
    <x v="6"/>
    <x v="2"/>
    <s v="SMT-2"/>
    <m/>
  </r>
  <r>
    <x v="30"/>
    <s v="P0011"/>
    <n v="0"/>
    <n v="0"/>
    <n v="0"/>
    <n v="0"/>
    <x v="9"/>
    <x v="3"/>
    <x v="6"/>
    <x v="2"/>
    <s v="SMT-2"/>
    <m/>
  </r>
  <r>
    <x v="31"/>
    <s v="P0001"/>
    <n v="0"/>
    <n v="0"/>
    <n v="0"/>
    <n v="0"/>
    <x v="0"/>
    <x v="0"/>
    <x v="7"/>
    <x v="2"/>
    <s v="SMT-2"/>
    <m/>
  </r>
  <r>
    <x v="31"/>
    <s v="P0002"/>
    <n v="102.66652509375"/>
    <n v="3285328803"/>
    <n v="-394239456.36000013"/>
    <n v="-0.12000000000000004"/>
    <x v="1"/>
    <x v="0"/>
    <x v="7"/>
    <x v="2"/>
    <s v="SMT-2"/>
    <m/>
  </r>
  <r>
    <x v="31"/>
    <s v="P0012"/>
    <n v="0"/>
    <n v="0"/>
    <n v="0"/>
    <n v="0"/>
    <x v="10"/>
    <x v="0"/>
    <x v="7"/>
    <x v="2"/>
    <s v="SMT-2"/>
    <m/>
  </r>
  <r>
    <x v="31"/>
    <s v="P0003"/>
    <n v="143.22262999999998"/>
    <n v="1974373708.2793999"/>
    <n v="-201628687.72059989"/>
    <n v="-0.10212285894766726"/>
    <x v="2"/>
    <x v="0"/>
    <x v="7"/>
    <x v="2"/>
    <s v="SMT-2"/>
    <m/>
  </r>
  <r>
    <x v="31"/>
    <s v="P0014"/>
    <n v="0"/>
    <n v="0"/>
    <n v="0"/>
    <n v="0"/>
    <x v="12"/>
    <x v="0"/>
    <x v="7"/>
    <x v="2"/>
    <s v="SMT-2"/>
    <m/>
  </r>
  <r>
    <x v="31"/>
    <s v="P0004"/>
    <n v="260.53300000000002"/>
    <n v="4645302037"/>
    <n v="750071154"/>
    <n v="0.16146875876437225"/>
    <x v="3"/>
    <x v="1"/>
    <x v="7"/>
    <x v="2"/>
    <s v="SMT-2"/>
    <m/>
  </r>
  <r>
    <x v="31"/>
    <s v="P0005"/>
    <n v="0"/>
    <n v="0"/>
    <n v="0"/>
    <n v="0"/>
    <x v="11"/>
    <x v="1"/>
    <x v="7"/>
    <x v="2"/>
    <s v="SMT-2"/>
    <m/>
  </r>
  <r>
    <x v="31"/>
    <s v="P0007"/>
    <n v="11"/>
    <n v="862500000"/>
    <n v="112500000"/>
    <n v="0.13043478260869565"/>
    <x v="4"/>
    <x v="1"/>
    <x v="7"/>
    <x v="2"/>
    <s v="SMT-2"/>
    <m/>
  </r>
  <r>
    <x v="31"/>
    <s v="P0006"/>
    <n v="1069"/>
    <n v="10913656034"/>
    <n v="427600000"/>
    <n v="3.9180270907189195E-2"/>
    <x v="15"/>
    <x v="1"/>
    <x v="7"/>
    <x v="2"/>
    <s v="SMT-2"/>
    <m/>
  </r>
  <r>
    <x v="31"/>
    <s v="P0009"/>
    <n v="385.53194830024609"/>
    <n v="6474299547.5453062"/>
    <n v="6378620243.887001"/>
    <n v="0.98522167487684731"/>
    <x v="6"/>
    <x v="2"/>
    <x v="7"/>
    <x v="2"/>
    <s v="SMT-2"/>
    <m/>
  </r>
  <r>
    <x v="31"/>
    <s v="P0016"/>
    <n v="0"/>
    <n v="0"/>
    <n v="0"/>
    <n v="0"/>
    <x v="14"/>
    <x v="2"/>
    <x v="7"/>
    <x v="2"/>
    <s v="SMT-2"/>
    <m/>
  </r>
  <r>
    <x v="31"/>
    <s v="P0008"/>
    <n v="0"/>
    <n v="0"/>
    <n v="0"/>
    <n v="0"/>
    <x v="5"/>
    <x v="2"/>
    <x v="7"/>
    <x v="2"/>
    <s v="SMT-2"/>
    <m/>
  </r>
  <r>
    <x v="31"/>
    <s v="P0010"/>
    <n v="0.89739999999999998"/>
    <n v="10510348.799999999"/>
    <n v="8576451.7999999989"/>
    <n v="0.81600068306010931"/>
    <x v="7"/>
    <x v="2"/>
    <x v="7"/>
    <x v="2"/>
    <s v="SMT-2"/>
    <m/>
  </r>
  <r>
    <x v="31"/>
    <s v="P0013"/>
    <n v="273.20965000000001"/>
    <n v="3693553689.8099999"/>
    <n v="3586803090.1399999"/>
    <n v="0.97109813241255705"/>
    <x v="8"/>
    <x v="2"/>
    <x v="7"/>
    <x v="2"/>
    <s v="SMT-2"/>
    <m/>
  </r>
  <r>
    <x v="31"/>
    <s v="P0011"/>
    <n v="0"/>
    <n v="0"/>
    <n v="0"/>
    <n v="0"/>
    <x v="9"/>
    <x v="3"/>
    <x v="7"/>
    <x v="2"/>
    <s v="SMT-2"/>
    <m/>
  </r>
  <r>
    <x v="32"/>
    <s v="P0001"/>
    <n v="0"/>
    <n v="0"/>
    <n v="0"/>
    <n v="0"/>
    <x v="0"/>
    <x v="0"/>
    <x v="8"/>
    <x v="2"/>
    <s v="SMT-2"/>
    <m/>
  </r>
  <r>
    <x v="32"/>
    <s v="P0002"/>
    <n v="56.323"/>
    <n v="2511505257"/>
    <n v="252873761.93000007"/>
    <n v="0.10068613681982035"/>
    <x v="1"/>
    <x v="0"/>
    <x v="8"/>
    <x v="2"/>
    <s v="SMT-2"/>
    <m/>
  </r>
  <r>
    <x v="32"/>
    <s v="P0012"/>
    <n v="0"/>
    <n v="0"/>
    <n v="0"/>
    <n v="0"/>
    <x v="10"/>
    <x v="0"/>
    <x v="8"/>
    <x v="2"/>
    <s v="SMT-2"/>
    <m/>
  </r>
  <r>
    <x v="32"/>
    <s v="P0003"/>
    <n v="475.58639999999997"/>
    <n v="6856963100"/>
    <n v="502230400"/>
    <n v="7.3243853390431685E-2"/>
    <x v="2"/>
    <x v="0"/>
    <x v="8"/>
    <x v="2"/>
    <s v="SMT-2"/>
    <m/>
  </r>
  <r>
    <x v="32"/>
    <s v="P0014"/>
    <n v="0"/>
    <n v="0"/>
    <n v="0"/>
    <n v="0"/>
    <x v="12"/>
    <x v="0"/>
    <x v="8"/>
    <x v="2"/>
    <s v="SMT-2"/>
    <m/>
  </r>
  <r>
    <x v="32"/>
    <s v="P0004"/>
    <n v="98.74"/>
    <n v="1711603970"/>
    <n v="24586260"/>
    <n v="1.4364456048790305E-2"/>
    <x v="3"/>
    <x v="1"/>
    <x v="8"/>
    <x v="2"/>
    <s v="SMT-2"/>
    <m/>
  </r>
  <r>
    <x v="32"/>
    <s v="P0005"/>
    <n v="0"/>
    <n v="0"/>
    <n v="0"/>
    <n v="0"/>
    <x v="11"/>
    <x v="1"/>
    <x v="8"/>
    <x v="2"/>
    <s v="SMT-2"/>
    <m/>
  </r>
  <r>
    <x v="32"/>
    <s v="P0007"/>
    <n v="0"/>
    <n v="0"/>
    <n v="0"/>
    <n v="0"/>
    <x v="4"/>
    <x v="1"/>
    <x v="8"/>
    <x v="2"/>
    <s v="SMT-2"/>
    <m/>
  </r>
  <r>
    <x v="32"/>
    <s v="P0006"/>
    <n v="0"/>
    <n v="0"/>
    <n v="0"/>
    <n v="0"/>
    <x v="15"/>
    <x v="1"/>
    <x v="8"/>
    <x v="2"/>
    <s v="SMT-2"/>
    <m/>
  </r>
  <r>
    <x v="32"/>
    <s v="P0009"/>
    <n v="297.3886445"/>
    <n v="4870875605.8876419"/>
    <n v="71983383.338240519"/>
    <n v="1.4778325123152608E-2"/>
    <x v="6"/>
    <x v="2"/>
    <x v="8"/>
    <x v="2"/>
    <s v="SMT-2"/>
    <m/>
  </r>
  <r>
    <x v="32"/>
    <s v="P0016"/>
    <n v="0"/>
    <n v="0"/>
    <n v="0"/>
    <n v="0"/>
    <x v="14"/>
    <x v="2"/>
    <x v="8"/>
    <x v="2"/>
    <s v="SMT-2"/>
    <m/>
  </r>
  <r>
    <x v="32"/>
    <s v="P0008"/>
    <n v="0"/>
    <n v="0"/>
    <n v="0"/>
    <n v="0"/>
    <x v="5"/>
    <x v="2"/>
    <x v="8"/>
    <x v="2"/>
    <s v="SMT-2"/>
    <m/>
  </r>
  <r>
    <x v="32"/>
    <s v="P0010"/>
    <n v="12.661"/>
    <n v="141662930"/>
    <n v="18457447"/>
    <n v="0.13029129780105494"/>
    <x v="7"/>
    <x v="2"/>
    <x v="8"/>
    <x v="2"/>
    <s v="SMT-2"/>
    <m/>
  </r>
  <r>
    <x v="32"/>
    <s v="P0013"/>
    <n v="327.15540000000004"/>
    <n v="4151815382.1999998"/>
    <n v="162134888.40000001"/>
    <n v="3.9051565032279099E-2"/>
    <x v="8"/>
    <x v="2"/>
    <x v="8"/>
    <x v="2"/>
    <s v="SMT-2"/>
    <m/>
  </r>
  <r>
    <x v="32"/>
    <s v="P0011"/>
    <n v="0"/>
    <n v="0"/>
    <n v="0"/>
    <n v="0"/>
    <x v="9"/>
    <x v="3"/>
    <x v="8"/>
    <x v="2"/>
    <s v="SMT-2"/>
    <m/>
  </r>
  <r>
    <x v="33"/>
    <s v="P0001"/>
    <n v="0"/>
    <n v="0"/>
    <n v="0"/>
    <n v="0"/>
    <x v="0"/>
    <x v="0"/>
    <x v="9"/>
    <x v="2"/>
    <s v="SMT-2"/>
    <m/>
  </r>
  <r>
    <x v="33"/>
    <s v="P0002"/>
    <n v="386.46155692857144"/>
    <n v="10772551726.99"/>
    <n v="-1085517339.1000004"/>
    <n v="-0.10076696465335136"/>
    <x v="1"/>
    <x v="0"/>
    <x v="9"/>
    <x v="2"/>
    <s v="SMT-2"/>
    <m/>
  </r>
  <r>
    <x v="33"/>
    <s v="P0012"/>
    <n v="0"/>
    <n v="0"/>
    <n v="0"/>
    <n v="0"/>
    <x v="10"/>
    <x v="0"/>
    <x v="9"/>
    <x v="2"/>
    <s v="SMT-2"/>
    <m/>
  </r>
  <r>
    <x v="33"/>
    <s v="P0003"/>
    <n v="520.54669000000001"/>
    <n v="6978494539.7399998"/>
    <n v="-98446933.760999918"/>
    <n v="-1.4107187904265064E-2"/>
    <x v="2"/>
    <x v="0"/>
    <x v="9"/>
    <x v="2"/>
    <s v="SMT-2"/>
    <m/>
  </r>
  <r>
    <x v="33"/>
    <s v="P0014"/>
    <n v="0"/>
    <n v="0"/>
    <n v="0"/>
    <n v="0"/>
    <x v="12"/>
    <x v="0"/>
    <x v="9"/>
    <x v="2"/>
    <s v="SMT-2"/>
    <m/>
  </r>
  <r>
    <x v="33"/>
    <s v="P0004"/>
    <n v="23.3"/>
    <n v="416365700"/>
    <n v="581090"/>
    <n v="1.3956240871906595E-3"/>
    <x v="3"/>
    <x v="1"/>
    <x v="9"/>
    <x v="2"/>
    <s v="SMT-2"/>
    <m/>
  </r>
  <r>
    <x v="33"/>
    <s v="P0005"/>
    <n v="0"/>
    <n v="0"/>
    <n v="0"/>
    <n v="0"/>
    <x v="11"/>
    <x v="1"/>
    <x v="9"/>
    <x v="2"/>
    <s v="SMT-2"/>
    <m/>
  </r>
  <r>
    <x v="33"/>
    <s v="P0007"/>
    <n v="0"/>
    <n v="0"/>
    <n v="0"/>
    <n v="0"/>
    <x v="4"/>
    <x v="1"/>
    <x v="9"/>
    <x v="2"/>
    <s v="SMT-2"/>
    <m/>
  </r>
  <r>
    <x v="33"/>
    <s v="P0006"/>
    <n v="2501.4789999999998"/>
    <n v="26320283702"/>
    <n v="2183661479"/>
    <n v="8.2964967388785019E-2"/>
    <x v="15"/>
    <x v="1"/>
    <x v="9"/>
    <x v="2"/>
    <s v="SMT-2"/>
    <m/>
  </r>
  <r>
    <x v="33"/>
    <s v="P0009"/>
    <n v="364.44071525000004"/>
    <n v="6033992670.1551723"/>
    <n v="89172305.470272884"/>
    <n v="1.477832512315261E-2"/>
    <x v="6"/>
    <x v="2"/>
    <x v="9"/>
    <x v="2"/>
    <s v="SMT-2"/>
    <m/>
  </r>
  <r>
    <x v="33"/>
    <s v="P0016"/>
    <n v="0"/>
    <n v="0"/>
    <n v="0"/>
    <n v="0"/>
    <x v="14"/>
    <x v="2"/>
    <x v="9"/>
    <x v="2"/>
    <s v="SMT-2"/>
    <m/>
  </r>
  <r>
    <x v="33"/>
    <s v="P0008"/>
    <n v="0"/>
    <n v="0"/>
    <n v="0"/>
    <n v="0"/>
    <x v="5"/>
    <x v="2"/>
    <x v="9"/>
    <x v="2"/>
    <s v="SMT-2"/>
    <m/>
  </r>
  <r>
    <x v="33"/>
    <s v="P0010"/>
    <n v="111.056"/>
    <n v="1243568256"/>
    <n v="130786342"/>
    <n v="0.10517021592419934"/>
    <x v="7"/>
    <x v="2"/>
    <x v="9"/>
    <x v="2"/>
    <s v="SMT-2"/>
    <m/>
  </r>
  <r>
    <x v="33"/>
    <s v="P0013"/>
    <n v="607.54404"/>
    <n v="6490292865.0378656"/>
    <n v="868972883.65047836"/>
    <n v="0.13388808513272052"/>
    <x v="8"/>
    <x v="2"/>
    <x v="9"/>
    <x v="2"/>
    <s v="SMT-2"/>
    <m/>
  </r>
  <r>
    <x v="33"/>
    <s v="P0011"/>
    <n v="0"/>
    <n v="0"/>
    <n v="0"/>
    <n v="0"/>
    <x v="9"/>
    <x v="3"/>
    <x v="9"/>
    <x v="2"/>
    <s v="SMT-2"/>
    <m/>
  </r>
  <r>
    <x v="34"/>
    <s v="P0001"/>
    <n v="0"/>
    <n v="0"/>
    <n v="0"/>
    <n v="0"/>
    <x v="0"/>
    <x v="0"/>
    <x v="10"/>
    <x v="2"/>
    <s v="SMT-2"/>
    <m/>
  </r>
  <r>
    <x v="34"/>
    <s v="P0002"/>
    <n v="96.081999999999994"/>
    <n v="5173905994.5150404"/>
    <n v="186860539.87575203"/>
    <n v="3.61159518696023E-2"/>
    <x v="1"/>
    <x v="0"/>
    <x v="10"/>
    <x v="2"/>
    <s v="SMT-2"/>
    <m/>
  </r>
  <r>
    <x v="34"/>
    <s v="P0012"/>
    <n v="0"/>
    <n v="0"/>
    <n v="0"/>
    <n v="0"/>
    <x v="10"/>
    <x v="0"/>
    <x v="10"/>
    <x v="2"/>
    <s v="SMT-2"/>
    <m/>
  </r>
  <r>
    <x v="34"/>
    <s v="P0003"/>
    <n v="654.79960000000005"/>
    <n v="12533394942"/>
    <n v="797341551"/>
    <n v="6.3617364224921272E-2"/>
    <x v="2"/>
    <x v="0"/>
    <x v="10"/>
    <x v="2"/>
    <s v="SMT-2"/>
    <m/>
  </r>
  <r>
    <x v="34"/>
    <s v="P0014"/>
    <n v="0"/>
    <n v="0"/>
    <n v="0"/>
    <n v="0"/>
    <x v="12"/>
    <x v="0"/>
    <x v="10"/>
    <x v="2"/>
    <s v="SMT-2"/>
    <m/>
  </r>
  <r>
    <x v="34"/>
    <s v="P0004"/>
    <n v="362.04"/>
    <n v="6594436589"/>
    <n v="90290463"/>
    <n v="1.3691914658882467E-2"/>
    <x v="3"/>
    <x v="1"/>
    <x v="10"/>
    <x v="2"/>
    <s v="SMT-2"/>
    <m/>
  </r>
  <r>
    <x v="34"/>
    <s v="P0005"/>
    <n v="0"/>
    <n v="0"/>
    <n v="0"/>
    <n v="0"/>
    <x v="11"/>
    <x v="1"/>
    <x v="10"/>
    <x v="2"/>
    <s v="SMT-2"/>
    <m/>
  </r>
  <r>
    <x v="34"/>
    <s v="P0007"/>
    <n v="0"/>
    <n v="0"/>
    <n v="0"/>
    <n v="0"/>
    <x v="4"/>
    <x v="1"/>
    <x v="10"/>
    <x v="2"/>
    <s v="SMT-2"/>
    <m/>
  </r>
  <r>
    <x v="34"/>
    <s v="P0006"/>
    <n v="1198.32"/>
    <n v="12683920980"/>
    <n v="458133147"/>
    <n v="3.6119205387859489E-2"/>
    <x v="15"/>
    <x v="1"/>
    <x v="10"/>
    <x v="2"/>
    <s v="SMT-2"/>
    <m/>
  </r>
  <r>
    <x v="34"/>
    <s v="P0009"/>
    <n v="415.21980149060715"/>
    <n v="6768749459.9573135"/>
    <n v="100030780.19641289"/>
    <n v="1.477832512315262E-2"/>
    <x v="6"/>
    <x v="2"/>
    <x v="10"/>
    <x v="2"/>
    <s v="SMT-2"/>
    <m/>
  </r>
  <r>
    <x v="34"/>
    <s v="P0016"/>
    <n v="0"/>
    <n v="0"/>
    <n v="0"/>
    <n v="0"/>
    <x v="14"/>
    <x v="2"/>
    <x v="10"/>
    <x v="2"/>
    <s v="SMT-2"/>
    <m/>
  </r>
  <r>
    <x v="34"/>
    <s v="P0008"/>
    <n v="0"/>
    <n v="0"/>
    <n v="0"/>
    <n v="0"/>
    <x v="5"/>
    <x v="2"/>
    <x v="10"/>
    <x v="2"/>
    <s v="SMT-2"/>
    <m/>
  </r>
  <r>
    <x v="34"/>
    <s v="P0010"/>
    <n v="0"/>
    <n v="0"/>
    <n v="0"/>
    <n v="0"/>
    <x v="7"/>
    <x v="2"/>
    <x v="10"/>
    <x v="2"/>
    <s v="SMT-2"/>
    <m/>
  </r>
  <r>
    <x v="34"/>
    <s v="P0013"/>
    <n v="622.26300000000003"/>
    <n v="7725638642.499999"/>
    <n v="1485198269.7600002"/>
    <n v="0.19224278256941532"/>
    <x v="8"/>
    <x v="2"/>
    <x v="10"/>
    <x v="2"/>
    <s v="SMT-2"/>
    <m/>
  </r>
  <r>
    <x v="34"/>
    <s v="P0011"/>
    <n v="0"/>
    <n v="0"/>
    <n v="0"/>
    <n v="0"/>
    <x v="9"/>
    <x v="3"/>
    <x v="10"/>
    <x v="2"/>
    <s v="SMT-2"/>
    <m/>
  </r>
  <r>
    <x v="35"/>
    <s v="P0001"/>
    <n v="0"/>
    <n v="0"/>
    <n v="0"/>
    <n v="0"/>
    <x v="0"/>
    <x v="0"/>
    <x v="11"/>
    <x v="2"/>
    <s v="SMT-2"/>
    <m/>
  </r>
  <r>
    <x v="35"/>
    <s v="P0002"/>
    <n v="92.081980000000001"/>
    <n v="4719608410"/>
    <n v="331468920.5"/>
    <n v="7.0232292958389744E-2"/>
    <x v="1"/>
    <x v="0"/>
    <x v="11"/>
    <x v="2"/>
    <s v="SMT-2"/>
    <m/>
  </r>
  <r>
    <x v="35"/>
    <s v="P0012"/>
    <n v="0"/>
    <n v="0"/>
    <n v="0"/>
    <n v="0"/>
    <x v="10"/>
    <x v="0"/>
    <x v="11"/>
    <x v="2"/>
    <s v="SMT-2"/>
    <m/>
  </r>
  <r>
    <x v="35"/>
    <s v="P0003"/>
    <n v="159.36362000000003"/>
    <n v="2601226340"/>
    <n v="137369860"/>
    <n v="5.2809652850124532E-2"/>
    <x v="2"/>
    <x v="0"/>
    <x v="11"/>
    <x v="2"/>
    <s v="SMT-2"/>
    <m/>
  </r>
  <r>
    <x v="35"/>
    <s v="P0014"/>
    <n v="0"/>
    <n v="0"/>
    <n v="0"/>
    <n v="0"/>
    <x v="12"/>
    <x v="0"/>
    <x v="11"/>
    <x v="2"/>
    <s v="SMT-2"/>
    <m/>
  </r>
  <r>
    <x v="35"/>
    <s v="P0004"/>
    <n v="47.42"/>
    <n v="805784440"/>
    <n v="11826230"/>
    <n v="1.4676667124522782E-2"/>
    <x v="3"/>
    <x v="1"/>
    <x v="11"/>
    <x v="2"/>
    <s v="SMT-2"/>
    <m/>
  </r>
  <r>
    <x v="35"/>
    <s v="P0005"/>
    <n v="0"/>
    <n v="0"/>
    <n v="0"/>
    <n v="0"/>
    <x v="11"/>
    <x v="1"/>
    <x v="11"/>
    <x v="2"/>
    <s v="SMT-2"/>
    <m/>
  </r>
  <r>
    <x v="35"/>
    <s v="P0007"/>
    <n v="0"/>
    <n v="0"/>
    <n v="0"/>
    <n v="0"/>
    <x v="4"/>
    <x v="1"/>
    <x v="11"/>
    <x v="2"/>
    <s v="SMT-2"/>
    <m/>
  </r>
  <r>
    <x v="35"/>
    <s v="P0006"/>
    <n v="3905.6010000000001"/>
    <n v="44027663284"/>
    <n v="3322030756.0000334"/>
    <n v="7.5453260705009656E-2"/>
    <x v="15"/>
    <x v="1"/>
    <x v="11"/>
    <x v="2"/>
    <s v="SMT-2"/>
    <m/>
  </r>
  <r>
    <x v="35"/>
    <s v="P0009"/>
    <n v="279.90684700000003"/>
    <n v="4771724418.3044014"/>
    <n v="70518094.851788789"/>
    <n v="1.4778325123152627E-2"/>
    <x v="6"/>
    <x v="2"/>
    <x v="11"/>
    <x v="2"/>
    <s v="SMT-2"/>
    <m/>
  </r>
  <r>
    <x v="35"/>
    <s v="P0016"/>
    <n v="0"/>
    <n v="0"/>
    <n v="0"/>
    <n v="0"/>
    <x v="14"/>
    <x v="2"/>
    <x v="11"/>
    <x v="2"/>
    <s v="SMT-2"/>
    <m/>
  </r>
  <r>
    <x v="35"/>
    <s v="P0008"/>
    <n v="0"/>
    <n v="0"/>
    <n v="0"/>
    <n v="0"/>
    <x v="5"/>
    <x v="2"/>
    <x v="11"/>
    <x v="2"/>
    <s v="SMT-2"/>
    <m/>
  </r>
  <r>
    <x v="35"/>
    <s v="P0010"/>
    <n v="7.867"/>
    <n v="86533938"/>
    <n v="11336738"/>
    <n v="0.13100915388826984"/>
    <x v="7"/>
    <x v="2"/>
    <x v="11"/>
    <x v="2"/>
    <s v="SMT-2"/>
    <m/>
  </r>
  <r>
    <x v="35"/>
    <s v="P0013"/>
    <n v="0"/>
    <n v="0"/>
    <n v="0"/>
    <n v="0"/>
    <x v="8"/>
    <x v="2"/>
    <x v="11"/>
    <x v="2"/>
    <s v="SMT-2"/>
    <m/>
  </r>
  <r>
    <x v="35"/>
    <s v="P0011"/>
    <n v="0"/>
    <n v="0"/>
    <n v="0"/>
    <n v="0"/>
    <x v="9"/>
    <x v="3"/>
    <x v="11"/>
    <x v="2"/>
    <s v="SMT-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7" applyNumberFormats="0" applyBorderFormats="0" applyFontFormats="0" applyPatternFormats="0" applyAlignmentFormats="0" applyWidthHeightFormats="1" dataCaption="Values" updatedVersion="3" minRefreshableVersion="3" useAutoFormatting="1" colGrandTotals="0" itemPrintTitles="1" createdVersion="6" indent="0" compact="0" outline="1" outlineData="1" compactData="0" multipleFieldFilters="0" chartFormat="86">
  <location ref="S3:T8" firstHeaderRow="1" firstDataRow="1" firstDataCol="1"/>
  <pivotFields count="12">
    <pivotField compact="0" numFmtId="17" showAll="0"/>
    <pivotField compact="0" showAll="0"/>
    <pivotField dataField="1" compact="0" showAll="0"/>
    <pivotField compact="0" showAll="0"/>
    <pivotField compact="0" showAll="0"/>
    <pivotField compact="0" showAll="0"/>
    <pivotField compact="0" showAll="0"/>
    <pivotField axis="axisRow" compact="0" showAll="0">
      <items count="7">
        <item x="0"/>
        <item x="2"/>
        <item x="3"/>
        <item x="1"/>
        <item m="1" x="5"/>
        <item m="1" x="4"/>
        <item t="default"/>
      </items>
    </pivotField>
    <pivotField compact="0" showAll="0">
      <items count="15">
        <item h="1" x="0"/>
        <item h="1" x="1"/>
        <item h="1" x="2"/>
        <item h="1" m="1" x="13"/>
        <item h="1" x="3"/>
        <item h="1" x="4"/>
        <item h="1" x="5"/>
        <item h="1" x="6"/>
        <item h="1" x="7"/>
        <item h="1" x="8"/>
        <item h="1" x="9"/>
        <item h="1" x="10"/>
        <item x="11"/>
        <item h="1" m="1" x="12"/>
        <item t="default"/>
      </items>
    </pivotField>
    <pivotField compact="0" showAll="0">
      <items count="5">
        <item h="1" x="0"/>
        <item x="1"/>
        <item h="1" m="1" x="3"/>
        <item h="1" x="2"/>
        <item t="default"/>
      </items>
    </pivotField>
    <pivotField compact="0" numFmtId="168" showAll="0"/>
    <pivotField compact="0" showAll="0"/>
  </pivotFields>
  <rowFields count="1">
    <field x="7"/>
  </rowFields>
  <rowItems count="5">
    <i>
      <x/>
    </i>
    <i>
      <x v="1"/>
    </i>
    <i>
      <x v="2"/>
    </i>
    <i>
      <x v="3"/>
    </i>
    <i t="grand">
      <x/>
    </i>
  </rowItems>
  <colItems count="1">
    <i/>
  </colItems>
  <dataFields count="1">
    <dataField name="Sum of TONASE" fld="2" baseField="0" baseItem="0"/>
  </dataFields>
  <formats count="13">
    <format dxfId="78">
      <pivotArea field="9" type="button" dataOnly="0" labelOnly="1" outline="0"/>
    </format>
    <format dxfId="77">
      <pivotArea field="8" type="button" dataOnly="0" labelOnly="1" outline="0"/>
    </format>
    <format dxfId="76">
      <pivotArea field="9" type="button" dataOnly="0" labelOnly="1" outline="0"/>
    </format>
    <format dxfId="75">
      <pivotArea field="8" type="button" dataOnly="0" labelOnly="1" outline="0"/>
    </format>
    <format dxfId="74">
      <pivotArea field="9" type="button" dataOnly="0" labelOnly="1" outline="0"/>
    </format>
    <format dxfId="73">
      <pivotArea field="8" type="button" dataOnly="0" labelOnly="1" outline="0"/>
    </format>
    <format dxfId="72">
      <pivotArea outline="0" collapsedLevelsAreSubtotals="1" fieldPosition="0"/>
    </format>
    <format dxfId="71">
      <pivotArea field="7" type="button" dataOnly="0" labelOnly="1" outline="0" axis="axisRow" fieldPosition="0"/>
    </format>
    <format dxfId="70">
      <pivotArea dataOnly="0" labelOnly="1" outline="0" axis="axisValues" fieldPosition="0"/>
    </format>
    <format dxfId="69">
      <pivotArea field="7" type="button" dataOnly="0" labelOnly="1" outline="0" axis="axisRow" fieldPosition="0"/>
    </format>
    <format dxfId="68">
      <pivotArea dataOnly="0" labelOnly="1" outline="0" axis="axisValues" fieldPosition="0"/>
    </format>
    <format dxfId="67">
      <pivotArea field="7" type="button" dataOnly="0" labelOnly="1" outline="0" axis="axisRow" fieldPosition="0"/>
    </format>
    <format dxfId="66">
      <pivotArea dataOnly="0" labelOnly="1" outline="0" axis="axisValues" fieldPosition="0"/>
    </format>
  </formats>
  <chartFormats count="58">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7" count="1" selected="0">
            <x v="0"/>
          </reference>
        </references>
      </pivotArea>
    </chartFormat>
    <chartFormat chart="26" format="4">
      <pivotArea type="data" outline="0" fieldPosition="0">
        <references count="2">
          <reference field="4294967294" count="1" selected="0">
            <x v="0"/>
          </reference>
          <reference field="7" count="1" selected="0">
            <x v="1"/>
          </reference>
        </references>
      </pivotArea>
    </chartFormat>
    <chartFormat chart="26" format="5">
      <pivotArea type="data" outline="0" fieldPosition="0">
        <references count="2">
          <reference field="4294967294" count="1" selected="0">
            <x v="0"/>
          </reference>
          <reference field="7" count="1" selected="0">
            <x v="2"/>
          </reference>
        </references>
      </pivotArea>
    </chartFormat>
    <chartFormat chart="26" format="6">
      <pivotArea type="data" outline="0" fieldPosition="0">
        <references count="2">
          <reference field="4294967294" count="1" selected="0">
            <x v="0"/>
          </reference>
          <reference field="7" count="1" selected="0">
            <x v="3"/>
          </reference>
        </references>
      </pivotArea>
    </chartFormat>
    <chartFormat chart="26" format="7" series="1">
      <pivotArea type="data" outline="0" fieldPosition="0">
        <references count="2">
          <reference field="4294967294" count="1" selected="0">
            <x v="0"/>
          </reference>
          <reference field="7" count="1" selected="0">
            <x v="1"/>
          </reference>
        </references>
      </pivotArea>
    </chartFormat>
    <chartFormat chart="26" format="8" series="1">
      <pivotArea type="data" outline="0" fieldPosition="0">
        <references count="2">
          <reference field="4294967294" count="1" selected="0">
            <x v="0"/>
          </reference>
          <reference field="7" count="1" selected="0">
            <x v="2"/>
          </reference>
        </references>
      </pivotArea>
    </chartFormat>
    <chartFormat chart="26" format="9" series="1">
      <pivotArea type="data" outline="0" fieldPosition="0">
        <references count="2">
          <reference field="4294967294" count="1" selected="0">
            <x v="0"/>
          </reference>
          <reference field="7" count="1" selected="0">
            <x v="3"/>
          </reference>
        </references>
      </pivotArea>
    </chartFormat>
    <chartFormat chart="60" format="10" series="1">
      <pivotArea type="data" outline="0" fieldPosition="0">
        <references count="1">
          <reference field="4294967294" count="1" selected="0">
            <x v="0"/>
          </reference>
        </references>
      </pivotArea>
    </chartFormat>
    <chartFormat chart="60" format="11">
      <pivotArea type="data" outline="0" fieldPosition="0">
        <references count="2">
          <reference field="4294967294" count="1" selected="0">
            <x v="0"/>
          </reference>
          <reference field="7" count="1" selected="0">
            <x v="0"/>
          </reference>
        </references>
      </pivotArea>
    </chartFormat>
    <chartFormat chart="60" format="12">
      <pivotArea type="data" outline="0" fieldPosition="0">
        <references count="2">
          <reference field="4294967294" count="1" selected="0">
            <x v="0"/>
          </reference>
          <reference field="7" count="1" selected="0">
            <x v="1"/>
          </reference>
        </references>
      </pivotArea>
    </chartFormat>
    <chartFormat chart="60" format="13">
      <pivotArea type="data" outline="0" fieldPosition="0">
        <references count="2">
          <reference field="4294967294" count="1" selected="0">
            <x v="0"/>
          </reference>
          <reference field="7" count="1" selected="0">
            <x v="2"/>
          </reference>
        </references>
      </pivotArea>
    </chartFormat>
    <chartFormat chart="60" format="14">
      <pivotArea type="data" outline="0" fieldPosition="0">
        <references count="2">
          <reference field="4294967294" count="1" selected="0">
            <x v="0"/>
          </reference>
          <reference field="7" count="1" selected="0">
            <x v="3"/>
          </reference>
        </references>
      </pivotArea>
    </chartFormat>
    <chartFormat chart="61" format="15" series="1">
      <pivotArea type="data" outline="0" fieldPosition="0">
        <references count="1">
          <reference field="4294967294" count="1" selected="0">
            <x v="0"/>
          </reference>
        </references>
      </pivotArea>
    </chartFormat>
    <chartFormat chart="61" format="16">
      <pivotArea type="data" outline="0" fieldPosition="0">
        <references count="2">
          <reference field="4294967294" count="1" selected="0">
            <x v="0"/>
          </reference>
          <reference field="7" count="1" selected="0">
            <x v="0"/>
          </reference>
        </references>
      </pivotArea>
    </chartFormat>
    <chartFormat chart="61" format="17">
      <pivotArea type="data" outline="0" fieldPosition="0">
        <references count="2">
          <reference field="4294967294" count="1" selected="0">
            <x v="0"/>
          </reference>
          <reference field="7" count="1" selected="0">
            <x v="1"/>
          </reference>
        </references>
      </pivotArea>
    </chartFormat>
    <chartFormat chart="61" format="18">
      <pivotArea type="data" outline="0" fieldPosition="0">
        <references count="2">
          <reference field="4294967294" count="1" selected="0">
            <x v="0"/>
          </reference>
          <reference field="7" count="1" selected="0">
            <x v="2"/>
          </reference>
        </references>
      </pivotArea>
    </chartFormat>
    <chartFormat chart="61" format="19">
      <pivotArea type="data" outline="0" fieldPosition="0">
        <references count="2">
          <reference field="4294967294" count="1" selected="0">
            <x v="0"/>
          </reference>
          <reference field="7" count="1" selected="0">
            <x v="3"/>
          </reference>
        </references>
      </pivotArea>
    </chartFormat>
    <chartFormat chart="62" format="10" series="1">
      <pivotArea type="data" outline="0" fieldPosition="0">
        <references count="1">
          <reference field="4294967294" count="1" selected="0">
            <x v="0"/>
          </reference>
        </references>
      </pivotArea>
    </chartFormat>
    <chartFormat chart="62" format="11">
      <pivotArea type="data" outline="0" fieldPosition="0">
        <references count="2">
          <reference field="4294967294" count="1" selected="0">
            <x v="0"/>
          </reference>
          <reference field="7" count="1" selected="0">
            <x v="0"/>
          </reference>
        </references>
      </pivotArea>
    </chartFormat>
    <chartFormat chart="62" format="12">
      <pivotArea type="data" outline="0" fieldPosition="0">
        <references count="2">
          <reference field="4294967294" count="1" selected="0">
            <x v="0"/>
          </reference>
          <reference field="7" count="1" selected="0">
            <x v="1"/>
          </reference>
        </references>
      </pivotArea>
    </chartFormat>
    <chartFormat chart="62" format="13">
      <pivotArea type="data" outline="0" fieldPosition="0">
        <references count="2">
          <reference field="4294967294" count="1" selected="0">
            <x v="0"/>
          </reference>
          <reference field="7" count="1" selected="0">
            <x v="2"/>
          </reference>
        </references>
      </pivotArea>
    </chartFormat>
    <chartFormat chart="62" format="14">
      <pivotArea type="data" outline="0" fieldPosition="0">
        <references count="2">
          <reference field="4294967294" count="1" selected="0">
            <x v="0"/>
          </reference>
          <reference field="7" count="1" selected="0">
            <x v="3"/>
          </reference>
        </references>
      </pivotArea>
    </chartFormat>
    <chartFormat chart="63" format="15" series="1">
      <pivotArea type="data" outline="0" fieldPosition="0">
        <references count="1">
          <reference field="4294967294" count="1" selected="0">
            <x v="0"/>
          </reference>
        </references>
      </pivotArea>
    </chartFormat>
    <chartFormat chart="63" format="16">
      <pivotArea type="data" outline="0" fieldPosition="0">
        <references count="2">
          <reference field="4294967294" count="1" selected="0">
            <x v="0"/>
          </reference>
          <reference field="7" count="1" selected="0">
            <x v="0"/>
          </reference>
        </references>
      </pivotArea>
    </chartFormat>
    <chartFormat chart="63" format="17">
      <pivotArea type="data" outline="0" fieldPosition="0">
        <references count="2">
          <reference field="4294967294" count="1" selected="0">
            <x v="0"/>
          </reference>
          <reference field="7" count="1" selected="0">
            <x v="1"/>
          </reference>
        </references>
      </pivotArea>
    </chartFormat>
    <chartFormat chart="63" format="18">
      <pivotArea type="data" outline="0" fieldPosition="0">
        <references count="2">
          <reference field="4294967294" count="1" selected="0">
            <x v="0"/>
          </reference>
          <reference field="7" count="1" selected="0">
            <x v="2"/>
          </reference>
        </references>
      </pivotArea>
    </chartFormat>
    <chartFormat chart="63" format="19">
      <pivotArea type="data" outline="0" fieldPosition="0">
        <references count="2">
          <reference field="4294967294" count="1" selected="0">
            <x v="0"/>
          </reference>
          <reference field="7" count="1" selected="0">
            <x v="3"/>
          </reference>
        </references>
      </pivotArea>
    </chartFormat>
    <chartFormat chart="71" format="10" series="1">
      <pivotArea type="data" outline="0" fieldPosition="0">
        <references count="1">
          <reference field="4294967294" count="1" selected="0">
            <x v="0"/>
          </reference>
        </references>
      </pivotArea>
    </chartFormat>
    <chartFormat chart="71" format="11">
      <pivotArea type="data" outline="0" fieldPosition="0">
        <references count="2">
          <reference field="4294967294" count="1" selected="0">
            <x v="0"/>
          </reference>
          <reference field="7" count="1" selected="0">
            <x v="0"/>
          </reference>
        </references>
      </pivotArea>
    </chartFormat>
    <chartFormat chart="71" format="12">
      <pivotArea type="data" outline="0" fieldPosition="0">
        <references count="2">
          <reference field="4294967294" count="1" selected="0">
            <x v="0"/>
          </reference>
          <reference field="7" count="1" selected="0">
            <x v="1"/>
          </reference>
        </references>
      </pivotArea>
    </chartFormat>
    <chartFormat chart="71" format="13">
      <pivotArea type="data" outline="0" fieldPosition="0">
        <references count="2">
          <reference field="4294967294" count="1" selected="0">
            <x v="0"/>
          </reference>
          <reference field="7" count="1" selected="0">
            <x v="2"/>
          </reference>
        </references>
      </pivotArea>
    </chartFormat>
    <chartFormat chart="71" format="14">
      <pivotArea type="data" outline="0" fieldPosition="0">
        <references count="2">
          <reference field="4294967294" count="1" selected="0">
            <x v="0"/>
          </reference>
          <reference field="7" count="1" selected="0">
            <x v="3"/>
          </reference>
        </references>
      </pivotArea>
    </chartFormat>
    <chartFormat chart="72" format="15" series="1">
      <pivotArea type="data" outline="0" fieldPosition="0">
        <references count="1">
          <reference field="4294967294" count="1" selected="0">
            <x v="0"/>
          </reference>
        </references>
      </pivotArea>
    </chartFormat>
    <chartFormat chart="72" format="16">
      <pivotArea type="data" outline="0" fieldPosition="0">
        <references count="2">
          <reference field="4294967294" count="1" selected="0">
            <x v="0"/>
          </reference>
          <reference field="7" count="1" selected="0">
            <x v="0"/>
          </reference>
        </references>
      </pivotArea>
    </chartFormat>
    <chartFormat chart="72" format="17">
      <pivotArea type="data" outline="0" fieldPosition="0">
        <references count="2">
          <reference field="4294967294" count="1" selected="0">
            <x v="0"/>
          </reference>
          <reference field="7" count="1" selected="0">
            <x v="1"/>
          </reference>
        </references>
      </pivotArea>
    </chartFormat>
    <chartFormat chart="72" format="18">
      <pivotArea type="data" outline="0" fieldPosition="0">
        <references count="2">
          <reference field="4294967294" count="1" selected="0">
            <x v="0"/>
          </reference>
          <reference field="7" count="1" selected="0">
            <x v="2"/>
          </reference>
        </references>
      </pivotArea>
    </chartFormat>
    <chartFormat chart="72" format="19">
      <pivotArea type="data" outline="0" fieldPosition="0">
        <references count="2">
          <reference field="4294967294" count="1" selected="0">
            <x v="0"/>
          </reference>
          <reference field="7" count="1" selected="0">
            <x v="3"/>
          </reference>
        </references>
      </pivotArea>
    </chartFormat>
    <chartFormat chart="75" format="10" series="1">
      <pivotArea type="data" outline="0" fieldPosition="0">
        <references count="1">
          <reference field="4294967294" count="1" selected="0">
            <x v="0"/>
          </reference>
        </references>
      </pivotArea>
    </chartFormat>
    <chartFormat chart="75" format="11">
      <pivotArea type="data" outline="0" fieldPosition="0">
        <references count="2">
          <reference field="4294967294" count="1" selected="0">
            <x v="0"/>
          </reference>
          <reference field="7" count="1" selected="0">
            <x v="0"/>
          </reference>
        </references>
      </pivotArea>
    </chartFormat>
    <chartFormat chart="75" format="12">
      <pivotArea type="data" outline="0" fieldPosition="0">
        <references count="2">
          <reference field="4294967294" count="1" selected="0">
            <x v="0"/>
          </reference>
          <reference field="7" count="1" selected="0">
            <x v="1"/>
          </reference>
        </references>
      </pivotArea>
    </chartFormat>
    <chartFormat chart="75" format="13">
      <pivotArea type="data" outline="0" fieldPosition="0">
        <references count="2">
          <reference field="4294967294" count="1" selected="0">
            <x v="0"/>
          </reference>
          <reference field="7" count="1" selected="0">
            <x v="2"/>
          </reference>
        </references>
      </pivotArea>
    </chartFormat>
    <chartFormat chart="75" format="14">
      <pivotArea type="data" outline="0" fieldPosition="0">
        <references count="2">
          <reference field="4294967294" count="1" selected="0">
            <x v="0"/>
          </reference>
          <reference field="7" count="1" selected="0">
            <x v="3"/>
          </reference>
        </references>
      </pivotArea>
    </chartFormat>
    <chartFormat chart="76" format="15" series="1">
      <pivotArea type="data" outline="0" fieldPosition="0">
        <references count="1">
          <reference field="4294967294" count="1" selected="0">
            <x v="0"/>
          </reference>
        </references>
      </pivotArea>
    </chartFormat>
    <chartFormat chart="76" format="16">
      <pivotArea type="data" outline="0" fieldPosition="0">
        <references count="2">
          <reference field="4294967294" count="1" selected="0">
            <x v="0"/>
          </reference>
          <reference field="7" count="1" selected="0">
            <x v="0"/>
          </reference>
        </references>
      </pivotArea>
    </chartFormat>
    <chartFormat chart="76" format="17">
      <pivotArea type="data" outline="0" fieldPosition="0">
        <references count="2">
          <reference field="4294967294" count="1" selected="0">
            <x v="0"/>
          </reference>
          <reference field="7" count="1" selected="0">
            <x v="1"/>
          </reference>
        </references>
      </pivotArea>
    </chartFormat>
    <chartFormat chart="76" format="18">
      <pivotArea type="data" outline="0" fieldPosition="0">
        <references count="2">
          <reference field="4294967294" count="1" selected="0">
            <x v="0"/>
          </reference>
          <reference field="7" count="1" selected="0">
            <x v="2"/>
          </reference>
        </references>
      </pivotArea>
    </chartFormat>
    <chartFormat chart="76" format="19">
      <pivotArea type="data" outline="0" fieldPosition="0">
        <references count="2">
          <reference field="4294967294" count="1" selected="0">
            <x v="0"/>
          </reference>
          <reference field="7" count="1" selected="0">
            <x v="3"/>
          </reference>
        </references>
      </pivotArea>
    </chartFormat>
    <chartFormat chart="79" format="10" series="1">
      <pivotArea type="data" outline="0" fieldPosition="0">
        <references count="1">
          <reference field="4294967294" count="1" selected="0">
            <x v="0"/>
          </reference>
        </references>
      </pivotArea>
    </chartFormat>
    <chartFormat chart="79" format="11">
      <pivotArea type="data" outline="0" fieldPosition="0">
        <references count="2">
          <reference field="4294967294" count="1" selected="0">
            <x v="0"/>
          </reference>
          <reference field="7" count="1" selected="0">
            <x v="0"/>
          </reference>
        </references>
      </pivotArea>
    </chartFormat>
    <chartFormat chart="79" format="12">
      <pivotArea type="data" outline="0" fieldPosition="0">
        <references count="2">
          <reference field="4294967294" count="1" selected="0">
            <x v="0"/>
          </reference>
          <reference field="7" count="1" selected="0">
            <x v="1"/>
          </reference>
        </references>
      </pivotArea>
    </chartFormat>
    <chartFormat chart="79" format="13">
      <pivotArea type="data" outline="0" fieldPosition="0">
        <references count="2">
          <reference field="4294967294" count="1" selected="0">
            <x v="0"/>
          </reference>
          <reference field="7" count="1" selected="0">
            <x v="2"/>
          </reference>
        </references>
      </pivotArea>
    </chartFormat>
    <chartFormat chart="79" format="14">
      <pivotArea type="data" outline="0" fieldPosition="0">
        <references count="2">
          <reference field="4294967294" count="1" selected="0">
            <x v="0"/>
          </reference>
          <reference field="7" count="1" selected="0">
            <x v="3"/>
          </reference>
        </references>
      </pivotArea>
    </chartFormat>
    <chartFormat chart="80" format="15" series="1">
      <pivotArea type="data" outline="0" fieldPosition="0">
        <references count="1">
          <reference field="4294967294" count="1" selected="0">
            <x v="0"/>
          </reference>
        </references>
      </pivotArea>
    </chartFormat>
    <chartFormat chart="80" format="16">
      <pivotArea type="data" outline="0" fieldPosition="0">
        <references count="2">
          <reference field="4294967294" count="1" selected="0">
            <x v="0"/>
          </reference>
          <reference field="7" count="1" selected="0">
            <x v="0"/>
          </reference>
        </references>
      </pivotArea>
    </chartFormat>
    <chartFormat chart="80" format="17">
      <pivotArea type="data" outline="0" fieldPosition="0">
        <references count="2">
          <reference field="4294967294" count="1" selected="0">
            <x v="0"/>
          </reference>
          <reference field="7" count="1" selected="0">
            <x v="1"/>
          </reference>
        </references>
      </pivotArea>
    </chartFormat>
    <chartFormat chart="80" format="18">
      <pivotArea type="data" outline="0" fieldPosition="0">
        <references count="2">
          <reference field="4294967294" count="1" selected="0">
            <x v="0"/>
          </reference>
          <reference field="7" count="1" selected="0">
            <x v="2"/>
          </reference>
        </references>
      </pivotArea>
    </chartFormat>
    <chartFormat chart="80" format="19">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2" cacheId="7" applyNumberFormats="0" applyBorderFormats="0" applyFontFormats="0" applyPatternFormats="0" applyAlignmentFormats="0" applyWidthHeightFormats="1" dataCaption="Values" updatedVersion="3" minRefreshableVersion="3" useAutoFormatting="1" rowGrandTotals="0" itemPrintTitles="1" createdVersion="6" indent="0" outline="1" outlineData="1" multipleFieldFilters="0">
  <location ref="A3:D6" firstHeaderRow="1" firstDataRow="2" firstDataCol="1"/>
  <pivotFields count="12">
    <pivotField showAll="0"/>
    <pivotField showAll="0"/>
    <pivotField dataField="1" showAll="0"/>
    <pivotField dataField="1" showAll="0"/>
    <pivotField dataField="1" showAll="0"/>
    <pivotField showAll="0"/>
    <pivotField showAll="0"/>
    <pivotField showAll="0"/>
    <pivotField axis="axisRow" showAll="0">
      <items count="15">
        <item h="1" x="0"/>
        <item h="1" m="1" x="13"/>
        <item h="1" x="1"/>
        <item h="1" x="2"/>
        <item h="1" x="3"/>
        <item h="1" x="4"/>
        <item h="1" x="5"/>
        <item h="1" x="6"/>
        <item h="1" x="7"/>
        <item h="1" x="8"/>
        <item h="1" x="9"/>
        <item h="1" x="10"/>
        <item x="11"/>
        <item h="1" m="1" x="12"/>
        <item t="default"/>
      </items>
    </pivotField>
    <pivotField axis="axisRow" showAll="0">
      <items count="5">
        <item h="1" x="0"/>
        <item x="1"/>
        <item h="1" m="1" x="3"/>
        <item h="1" x="2"/>
        <item t="default"/>
      </items>
    </pivotField>
    <pivotField showAll="0"/>
    <pivotField showAll="0"/>
  </pivotFields>
  <rowFields count="2">
    <field x="9"/>
    <field x="8"/>
  </rowFields>
  <rowItems count="2">
    <i>
      <x v="1"/>
    </i>
    <i r="1">
      <x v="12"/>
    </i>
  </rowItems>
  <colFields count="1">
    <field x="-2"/>
  </colFields>
  <colItems count="3">
    <i>
      <x/>
    </i>
    <i i="1">
      <x v="1"/>
    </i>
    <i i="2">
      <x v="2"/>
    </i>
  </colItems>
  <dataFields count="3">
    <dataField name="Sum of TONASE" fld="2" baseField="0" baseItem="0"/>
    <dataField name="Sum of REVENUE" fld="3" baseField="0" baseItem="0" numFmtId="167"/>
    <dataField name="Sum of GROSS PROFIT" fld="4" baseField="0" baseItem="0" numFmtId="167"/>
  </dataFields>
  <formats count="11">
    <format dxfId="89">
      <pivotArea field="9" type="button" dataOnly="0" labelOnly="1" outline="0" axis="axisRow" fieldPosition="0"/>
    </format>
    <format dxfId="88">
      <pivotArea dataOnly="0" labelOnly="1" outline="0" fieldPosition="0">
        <references count="1">
          <reference field="4294967294" count="3">
            <x v="0"/>
            <x v="1"/>
            <x v="2"/>
          </reference>
        </references>
      </pivotArea>
    </format>
    <format dxfId="87">
      <pivotArea field="9" type="button" dataOnly="0" labelOnly="1" outline="0" axis="axisRow" fieldPosition="0"/>
    </format>
    <format dxfId="86">
      <pivotArea dataOnly="0" labelOnly="1" outline="0" fieldPosition="0">
        <references count="1">
          <reference field="4294967294" count="3">
            <x v="0"/>
            <x v="1"/>
            <x v="2"/>
          </reference>
        </references>
      </pivotArea>
    </format>
    <format dxfId="85">
      <pivotArea field="9" type="button" dataOnly="0" labelOnly="1" outline="0" axis="axisRow" fieldPosition="0"/>
    </format>
    <format dxfId="84">
      <pivotArea dataOnly="0" labelOnly="1" outline="0" fieldPosition="0">
        <references count="1">
          <reference field="4294967294" count="3">
            <x v="0"/>
            <x v="1"/>
            <x v="2"/>
          </reference>
        </references>
      </pivotArea>
    </format>
    <format dxfId="83">
      <pivotArea collapsedLevelsAreSubtotals="1" fieldPosition="0">
        <references count="3">
          <reference field="4294967294" count="1" selected="0">
            <x v="0"/>
          </reference>
          <reference field="8" count="0"/>
          <reference field="9" count="0" selected="0"/>
        </references>
      </pivotArea>
    </format>
    <format dxfId="82">
      <pivotArea collapsedLevelsAreSubtotals="1" fieldPosition="0">
        <references count="2">
          <reference field="4294967294" count="1" selected="0">
            <x v="0"/>
          </reference>
          <reference field="9" count="0" defaultSubtotal="1"/>
        </references>
      </pivotArea>
    </format>
    <format dxfId="81">
      <pivotArea collapsedLevelsAreSubtotals="1" fieldPosition="0">
        <references count="3">
          <reference field="4294967294" count="2" selected="0">
            <x v="1"/>
            <x v="2"/>
          </reference>
          <reference field="8" count="0"/>
          <reference field="9" count="0" selected="0"/>
        </references>
      </pivotArea>
    </format>
    <format dxfId="80">
      <pivotArea collapsedLevelsAreSubtotals="1" fieldPosition="0">
        <references count="2">
          <reference field="4294967294" count="2" selected="0">
            <x v="1"/>
            <x v="2"/>
          </reference>
          <reference field="9" count="0" defaultSubtotal="1"/>
        </references>
      </pivotArea>
    </format>
    <format dxfId="79">
      <pivotArea outline="0" collapsedLevelsAreSubtotals="1" fieldPosition="0">
        <references count="1">
          <reference field="4294967294" count="2" selected="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name="PivotTable8" cacheId="7" applyNumberFormats="0" applyBorderFormats="0" applyFontFormats="0" applyPatternFormats="0" applyAlignmentFormats="0" applyWidthHeightFormats="1" dataCaption="Values" updatedVersion="3" minRefreshableVersion="3" useAutoFormatting="1" itemPrintTitles="1" createdVersion="6" indent="0" outline="1" outlineData="1" multipleFieldFilters="0">
  <location ref="AR3:AT185" firstHeaderRow="1" firstDataRow="2" firstDataCol="1"/>
  <pivotFields count="12">
    <pivotField axis="axisRow" numFmtId="17"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showAll="0"/>
    <pivotField dataField="1" showAll="0"/>
    <pivotField showAll="0"/>
    <pivotField showAll="0"/>
    <pivotField showAll="0"/>
    <pivotField showAll="0"/>
    <pivotField axis="axisRow" showAll="0">
      <items count="7">
        <item x="0"/>
        <item x="2"/>
        <item x="3"/>
        <item x="1"/>
        <item m="1" x="5"/>
        <item m="1" x="4"/>
        <item t="default"/>
      </items>
    </pivotField>
    <pivotField showAll="0"/>
    <pivotField showAll="0"/>
    <pivotField showAll="0"/>
    <pivotField dataField="1" showAll="0"/>
  </pivotFields>
  <rowFields count="2">
    <field x="0"/>
    <field x="7"/>
  </rowFields>
  <rowItems count="18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x v="12"/>
    </i>
    <i r="1">
      <x/>
    </i>
    <i r="1">
      <x v="1"/>
    </i>
    <i r="1">
      <x v="2"/>
    </i>
    <i r="1">
      <x v="3"/>
    </i>
    <i>
      <x v="13"/>
    </i>
    <i r="1">
      <x/>
    </i>
    <i r="1">
      <x v="1"/>
    </i>
    <i r="1">
      <x v="2"/>
    </i>
    <i r="1">
      <x v="3"/>
    </i>
    <i>
      <x v="14"/>
    </i>
    <i r="1">
      <x/>
    </i>
    <i r="1">
      <x v="1"/>
    </i>
    <i r="1">
      <x v="2"/>
    </i>
    <i r="1">
      <x v="3"/>
    </i>
    <i>
      <x v="15"/>
    </i>
    <i r="1">
      <x/>
    </i>
    <i r="1">
      <x v="1"/>
    </i>
    <i r="1">
      <x v="2"/>
    </i>
    <i r="1">
      <x v="3"/>
    </i>
    <i>
      <x v="16"/>
    </i>
    <i r="1">
      <x/>
    </i>
    <i r="1">
      <x v="1"/>
    </i>
    <i r="1">
      <x v="2"/>
    </i>
    <i r="1">
      <x v="3"/>
    </i>
    <i>
      <x v="17"/>
    </i>
    <i r="1">
      <x/>
    </i>
    <i r="1">
      <x v="1"/>
    </i>
    <i r="1">
      <x v="2"/>
    </i>
    <i r="1">
      <x v="3"/>
    </i>
    <i>
      <x v="18"/>
    </i>
    <i r="1">
      <x/>
    </i>
    <i r="1">
      <x v="1"/>
    </i>
    <i r="1">
      <x v="2"/>
    </i>
    <i r="1">
      <x v="3"/>
    </i>
    <i>
      <x v="19"/>
    </i>
    <i r="1">
      <x/>
    </i>
    <i r="1">
      <x v="1"/>
    </i>
    <i r="1">
      <x v="2"/>
    </i>
    <i r="1">
      <x v="3"/>
    </i>
    <i>
      <x v="20"/>
    </i>
    <i r="1">
      <x/>
    </i>
    <i r="1">
      <x v="1"/>
    </i>
    <i r="1">
      <x v="2"/>
    </i>
    <i r="1">
      <x v="3"/>
    </i>
    <i>
      <x v="21"/>
    </i>
    <i r="1">
      <x/>
    </i>
    <i r="1">
      <x v="1"/>
    </i>
    <i r="1">
      <x v="2"/>
    </i>
    <i r="1">
      <x v="3"/>
    </i>
    <i>
      <x v="22"/>
    </i>
    <i r="1">
      <x/>
    </i>
    <i r="1">
      <x v="1"/>
    </i>
    <i r="1">
      <x v="2"/>
    </i>
    <i r="1">
      <x v="3"/>
    </i>
    <i>
      <x v="23"/>
    </i>
    <i r="1">
      <x/>
    </i>
    <i r="1">
      <x v="1"/>
    </i>
    <i r="1">
      <x v="2"/>
    </i>
    <i r="1">
      <x v="3"/>
    </i>
    <i>
      <x v="24"/>
    </i>
    <i r="1">
      <x/>
    </i>
    <i r="1">
      <x v="1"/>
    </i>
    <i r="1">
      <x v="2"/>
    </i>
    <i r="1">
      <x v="3"/>
    </i>
    <i>
      <x v="25"/>
    </i>
    <i r="1">
      <x/>
    </i>
    <i r="1">
      <x v="1"/>
    </i>
    <i r="1">
      <x v="2"/>
    </i>
    <i r="1">
      <x v="3"/>
    </i>
    <i>
      <x v="26"/>
    </i>
    <i r="1">
      <x/>
    </i>
    <i r="1">
      <x v="1"/>
    </i>
    <i r="1">
      <x v="2"/>
    </i>
    <i r="1">
      <x v="3"/>
    </i>
    <i>
      <x v="27"/>
    </i>
    <i r="1">
      <x/>
    </i>
    <i r="1">
      <x v="1"/>
    </i>
    <i r="1">
      <x v="2"/>
    </i>
    <i r="1">
      <x v="3"/>
    </i>
    <i>
      <x v="28"/>
    </i>
    <i r="1">
      <x/>
    </i>
    <i r="1">
      <x v="1"/>
    </i>
    <i r="1">
      <x v="2"/>
    </i>
    <i r="1">
      <x v="3"/>
    </i>
    <i>
      <x v="29"/>
    </i>
    <i r="1">
      <x/>
    </i>
    <i r="1">
      <x v="1"/>
    </i>
    <i r="1">
      <x v="2"/>
    </i>
    <i r="1">
      <x v="3"/>
    </i>
    <i>
      <x v="30"/>
    </i>
    <i r="1">
      <x/>
    </i>
    <i r="1">
      <x v="1"/>
    </i>
    <i r="1">
      <x v="2"/>
    </i>
    <i r="1">
      <x v="3"/>
    </i>
    <i>
      <x v="31"/>
    </i>
    <i r="1">
      <x/>
    </i>
    <i r="1">
      <x v="1"/>
    </i>
    <i r="1">
      <x v="2"/>
    </i>
    <i r="1">
      <x v="3"/>
    </i>
    <i>
      <x v="32"/>
    </i>
    <i r="1">
      <x/>
    </i>
    <i r="1">
      <x v="1"/>
    </i>
    <i r="1">
      <x v="2"/>
    </i>
    <i r="1">
      <x v="3"/>
    </i>
    <i>
      <x v="33"/>
    </i>
    <i r="1">
      <x/>
    </i>
    <i r="1">
      <x v="1"/>
    </i>
    <i r="1">
      <x v="2"/>
    </i>
    <i r="1">
      <x v="3"/>
    </i>
    <i>
      <x v="34"/>
    </i>
    <i r="1">
      <x/>
    </i>
    <i r="1">
      <x v="1"/>
    </i>
    <i r="1">
      <x v="2"/>
    </i>
    <i r="1">
      <x v="3"/>
    </i>
    <i>
      <x v="35"/>
    </i>
    <i r="1">
      <x/>
    </i>
    <i r="1">
      <x v="1"/>
    </i>
    <i r="1">
      <x v="2"/>
    </i>
    <i r="1">
      <x v="3"/>
    </i>
    <i t="grand">
      <x/>
    </i>
  </rowItems>
  <colFields count="1">
    <field x="-2"/>
  </colFields>
  <colItems count="2">
    <i>
      <x/>
    </i>
    <i i="1">
      <x v="1"/>
    </i>
  </colItems>
  <dataFields count="2">
    <dataField name="Sum of TARGET TONASE" fld="11" baseField="0" baseItem="0"/>
    <dataField name="Sum of TONASE" fld="2" baseField="0" baseItem="0"/>
  </dataFields>
  <formats count="2">
    <format dxfId="91">
      <pivotArea type="all" dataOnly="0" outline="0" fieldPosition="0"/>
    </format>
    <format dxfId="9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7" cacheId="7" applyNumberFormats="0" applyBorderFormats="0" applyFontFormats="0" applyPatternFormats="0" applyAlignmentFormats="0" applyWidthHeightFormats="1" dataCaption="Values" updatedVersion="3" minRefreshableVersion="3" useAutoFormatting="1" rowGrandTotals="0" colGrandTotals="0" itemPrintTitles="1" createdVersion="6" indent="0" outline="1" outlineData="1" multipleFieldFilters="0">
  <location ref="F3:I17" firstHeaderRow="1" firstDataRow="2" firstDataCol="1"/>
  <pivotFields count="12">
    <pivotField numFmtId="17" showAll="0"/>
    <pivotField showAll="0"/>
    <pivotField dataField="1" showAll="0"/>
    <pivotField dataField="1" showAll="0"/>
    <pivotField dataField="1" showAll="0"/>
    <pivotField showAll="0"/>
    <pivotField showAll="0"/>
    <pivotField showAll="0"/>
    <pivotField axis="axisRow" showAll="0">
      <items count="15">
        <item x="0"/>
        <item m="1" x="13"/>
        <item x="1"/>
        <item x="2"/>
        <item x="3"/>
        <item x="4"/>
        <item x="5"/>
        <item x="6"/>
        <item x="7"/>
        <item x="8"/>
        <item x="9"/>
        <item x="10"/>
        <item x="11"/>
        <item m="1" x="12"/>
        <item t="default"/>
      </items>
    </pivotField>
    <pivotField axis="axisRow" showAll="0">
      <items count="5">
        <item h="1" x="0"/>
        <item x="1"/>
        <item h="1" m="1" x="3"/>
        <item h="1" x="2"/>
        <item t="default"/>
      </items>
    </pivotField>
    <pivotField showAll="0"/>
    <pivotField showAll="0"/>
  </pivotFields>
  <rowFields count="2">
    <field x="9"/>
    <field x="8"/>
  </rowFields>
  <rowItems count="13">
    <i>
      <x v="1"/>
    </i>
    <i r="1">
      <x/>
    </i>
    <i r="1">
      <x v="2"/>
    </i>
    <i r="1">
      <x v="3"/>
    </i>
    <i r="1">
      <x v="4"/>
    </i>
    <i r="1">
      <x v="5"/>
    </i>
    <i r="1">
      <x v="6"/>
    </i>
    <i r="1">
      <x v="7"/>
    </i>
    <i r="1">
      <x v="8"/>
    </i>
    <i r="1">
      <x v="9"/>
    </i>
    <i r="1">
      <x v="10"/>
    </i>
    <i r="1">
      <x v="11"/>
    </i>
    <i r="1">
      <x v="12"/>
    </i>
  </rowItems>
  <colFields count="1">
    <field x="-2"/>
  </colFields>
  <colItems count="3">
    <i>
      <x/>
    </i>
    <i i="1">
      <x v="1"/>
    </i>
    <i i="2">
      <x v="2"/>
    </i>
  </colItems>
  <dataFields count="3">
    <dataField name="Sum of TONASE" fld="2" baseField="0" baseItem="0" numFmtId="165"/>
    <dataField name="Sum of REVENUE" fld="3" baseField="0" baseItem="0" numFmtId="167"/>
    <dataField name="Sum of GROSS PROFIT" fld="4" baseField="0" baseItem="0" numFmtId="167"/>
  </dataFields>
  <formats count="9">
    <format dxfId="100">
      <pivotArea outline="0" collapsedLevelsAreSubtotals="1" fieldPosition="0">
        <references count="1">
          <reference field="4294967294" count="1" selected="0">
            <x v="0"/>
          </reference>
        </references>
      </pivotArea>
    </format>
    <format dxfId="99">
      <pivotArea outline="0" collapsedLevelsAreSubtotals="1" fieldPosition="0">
        <references count="1">
          <reference field="4294967294" count="1" selected="0">
            <x v="1"/>
          </reference>
        </references>
      </pivotArea>
    </format>
    <format dxfId="98">
      <pivotArea outline="0" collapsedLevelsAreSubtotals="1" fieldPosition="0">
        <references count="1">
          <reference field="4294967294" count="1" selected="0">
            <x v="2"/>
          </reference>
        </references>
      </pivotArea>
    </format>
    <format dxfId="97">
      <pivotArea field="9" type="button" dataOnly="0" labelOnly="1" outline="0" axis="axisRow" fieldPosition="0"/>
    </format>
    <format dxfId="96">
      <pivotArea dataOnly="0" labelOnly="1" outline="0" fieldPosition="0">
        <references count="1">
          <reference field="4294967294" count="3">
            <x v="0"/>
            <x v="1"/>
            <x v="2"/>
          </reference>
        </references>
      </pivotArea>
    </format>
    <format dxfId="95">
      <pivotArea field="9" type="button" dataOnly="0" labelOnly="1" outline="0" axis="axisRow" fieldPosition="0"/>
    </format>
    <format dxfId="94">
      <pivotArea dataOnly="0" labelOnly="1" outline="0" fieldPosition="0">
        <references count="1">
          <reference field="4294967294" count="3">
            <x v="0"/>
            <x v="1"/>
            <x v="2"/>
          </reference>
        </references>
      </pivotArea>
    </format>
    <format dxfId="93">
      <pivotArea field="9" type="button" dataOnly="0" labelOnly="1" outline="0" axis="axisRow" fieldPosition="0"/>
    </format>
    <format dxfId="9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3" cacheId="7" applyNumberFormats="0" applyBorderFormats="0" applyFontFormats="0" applyPatternFormats="0" applyAlignmentFormats="0" applyWidthHeightFormats="1" dataCaption="Values" updatedVersion="3" minRefreshableVersion="3" useAutoFormatting="1" rowGrandTotals="0" colGrandTotals="0" itemPrintTitles="1" createdVersion="6" indent="0" outline="1" outlineData="1" multipleFieldFilters="0">
  <location ref="AC3:AE20" firstHeaderRow="1" firstDataRow="2" firstDataCol="1"/>
  <pivotFields count="12">
    <pivotField numFmtId="17" showAll="0"/>
    <pivotField showAll="0"/>
    <pivotField dataField="1" showAll="0"/>
    <pivotField showAll="0"/>
    <pivotField showAll="0"/>
    <pivotField dataField="1" showAll="0"/>
    <pivotField axis="axisRow" showAll="0">
      <items count="18">
        <item x="4"/>
        <item x="7"/>
        <item x="13"/>
        <item x="12"/>
        <item x="3"/>
        <item x="11"/>
        <item x="5"/>
        <item x="10"/>
        <item x="8"/>
        <item x="2"/>
        <item x="1"/>
        <item x="0"/>
        <item x="9"/>
        <item x="6"/>
        <item m="1" x="16"/>
        <item x="14"/>
        <item x="15"/>
        <item t="default"/>
      </items>
    </pivotField>
    <pivotField showAll="0"/>
    <pivotField showAll="0"/>
    <pivotField showAll="0"/>
    <pivotField numFmtId="168" showAll="0"/>
    <pivotField showAll="0"/>
  </pivotFields>
  <rowFields count="1">
    <field x="6"/>
  </rowFields>
  <rowItems count="16">
    <i>
      <x/>
    </i>
    <i>
      <x v="1"/>
    </i>
    <i>
      <x v="2"/>
    </i>
    <i>
      <x v="3"/>
    </i>
    <i>
      <x v="4"/>
    </i>
    <i>
      <x v="5"/>
    </i>
    <i>
      <x v="6"/>
    </i>
    <i>
      <x v="7"/>
    </i>
    <i>
      <x v="8"/>
    </i>
    <i>
      <x v="9"/>
    </i>
    <i>
      <x v="10"/>
    </i>
    <i>
      <x v="11"/>
    </i>
    <i>
      <x v="12"/>
    </i>
    <i>
      <x v="13"/>
    </i>
    <i>
      <x v="15"/>
    </i>
    <i>
      <x v="16"/>
    </i>
  </rowItems>
  <colFields count="1">
    <field x="-2"/>
  </colFields>
  <colItems count="2">
    <i>
      <x/>
    </i>
    <i i="1">
      <x v="1"/>
    </i>
  </colItems>
  <dataFields count="2">
    <dataField name="Sum of TONASE" fld="2" baseField="0" baseItem="0" numFmtId="4"/>
    <dataField name="Sum of GROSS PROFIT MARGIN" fld="5" baseField="0" baseItem="0" numFmtId="9"/>
  </dataFields>
  <formats count="8">
    <format dxfId="108">
      <pivotArea outline="0" collapsedLevelsAreSubtotals="1" fieldPosition="0">
        <references count="1">
          <reference field="4294967294" count="1" selected="0">
            <x v="0"/>
          </reference>
        </references>
      </pivotArea>
    </format>
    <format dxfId="107">
      <pivotArea outline="0" collapsedLevelsAreSubtotals="1" fieldPosition="0">
        <references count="1">
          <reference field="4294967294" count="1" selected="0">
            <x v="1"/>
          </reference>
        </references>
      </pivotArea>
    </format>
    <format dxfId="106">
      <pivotArea field="6" type="button" dataOnly="0" labelOnly="1" outline="0" axis="axisRow" fieldPosition="0"/>
    </format>
    <format dxfId="105">
      <pivotArea dataOnly="0" labelOnly="1" outline="0" fieldPosition="0">
        <references count="1">
          <reference field="4294967294" count="2">
            <x v="0"/>
            <x v="1"/>
          </reference>
        </references>
      </pivotArea>
    </format>
    <format dxfId="104">
      <pivotArea field="6" type="button" dataOnly="0" labelOnly="1" outline="0" axis="axisRow" fieldPosition="0"/>
    </format>
    <format dxfId="103">
      <pivotArea dataOnly="0" labelOnly="1" outline="0" fieldPosition="0">
        <references count="1">
          <reference field="4294967294" count="2">
            <x v="0"/>
            <x v="1"/>
          </reference>
        </references>
      </pivotArea>
    </format>
    <format dxfId="102">
      <pivotArea field="6" type="button" dataOnly="0" labelOnly="1" outline="0" axis="axisRow" fieldPosition="0"/>
    </format>
    <format dxfId="10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4" cacheId="7" applyNumberFormats="0" applyBorderFormats="0" applyFontFormats="0" applyPatternFormats="0" applyAlignmentFormats="0" applyWidthHeightFormats="1" dataCaption="Values" updatedVersion="3" minRefreshableVersion="3" useAutoFormatting="1" itemPrintTitles="1" createdVersion="6" indent="0" outline="1" outlineData="1" multipleFieldFilters="0">
  <location ref="AJ3:AL9" firstHeaderRow="1" firstDataRow="2" firstDataCol="1"/>
  <pivotFields count="12">
    <pivotField numFmtId="17" showAll="0"/>
    <pivotField showAll="0"/>
    <pivotField showAll="0"/>
    <pivotField dataField="1" showAll="0"/>
    <pivotField dataField="1" showAll="0"/>
    <pivotField numFmtId="166" showAll="0"/>
    <pivotField showAll="0"/>
    <pivotField axis="axisRow" showAll="0">
      <items count="7">
        <item x="0"/>
        <item x="2"/>
        <item x="3"/>
        <item x="1"/>
        <item m="1" x="5"/>
        <item m="1" x="4"/>
        <item t="default"/>
      </items>
    </pivotField>
    <pivotField showAll="0"/>
    <pivotField showAll="0"/>
    <pivotField showAll="0"/>
    <pivotField showAll="0"/>
  </pivotFields>
  <rowFields count="1">
    <field x="7"/>
  </rowFields>
  <rowItems count="5">
    <i>
      <x/>
    </i>
    <i>
      <x v="1"/>
    </i>
    <i>
      <x v="2"/>
    </i>
    <i>
      <x v="3"/>
    </i>
    <i t="grand">
      <x/>
    </i>
  </rowItems>
  <colFields count="1">
    <field x="-2"/>
  </colFields>
  <colItems count="2">
    <i>
      <x/>
    </i>
    <i i="1">
      <x v="1"/>
    </i>
  </colItems>
  <dataFields count="2">
    <dataField name="Sum of REVENUE" fld="3" baseField="0" baseItem="0"/>
    <dataField name="Sum of GROSS PROFIT" fld="4" baseField="0" baseItem="0"/>
  </dataFields>
  <formats count="14">
    <format dxfId="122">
      <pivotArea outline="0" collapsedLevelsAreSubtotals="1" fieldPosition="0"/>
    </format>
    <format dxfId="121">
      <pivotArea type="all" dataOnly="0" outline="0" fieldPosition="0"/>
    </format>
    <format dxfId="120">
      <pivotArea outline="0" collapsedLevelsAreSubtotals="1" fieldPosition="0"/>
    </format>
    <format dxfId="119">
      <pivotArea field="7" type="button" dataOnly="0" labelOnly="1" outline="0" axis="axisRow" fieldPosition="0"/>
    </format>
    <format dxfId="118">
      <pivotArea dataOnly="0" labelOnly="1" fieldPosition="0">
        <references count="1">
          <reference field="7" count="0"/>
        </references>
      </pivotArea>
    </format>
    <format dxfId="117">
      <pivotArea dataOnly="0" labelOnly="1" grandRow="1" outline="0" fieldPosition="0"/>
    </format>
    <format dxfId="116">
      <pivotArea dataOnly="0" labelOnly="1" outline="0" fieldPosition="0">
        <references count="1">
          <reference field="4294967294" count="2">
            <x v="0"/>
            <x v="1"/>
          </reference>
        </references>
      </pivotArea>
    </format>
    <format dxfId="115">
      <pivotArea type="all" dataOnly="0" outline="0" fieldPosition="0"/>
    </format>
    <format dxfId="114">
      <pivotArea outline="0" collapsedLevelsAreSubtotals="1" fieldPosition="0"/>
    </format>
    <format dxfId="113">
      <pivotArea field="7" type="button" dataOnly="0" labelOnly="1" outline="0" axis="axisRow" fieldPosition="0"/>
    </format>
    <format dxfId="112">
      <pivotArea dataOnly="0" labelOnly="1" fieldPosition="0">
        <references count="1">
          <reference field="7" count="0"/>
        </references>
      </pivotArea>
    </format>
    <format dxfId="111">
      <pivotArea dataOnly="0" labelOnly="1" grandRow="1" outline="0" fieldPosition="0"/>
    </format>
    <format dxfId="110">
      <pivotArea dataOnly="0" labelOnly="1" outline="0" fieldPosition="0">
        <references count="1">
          <reference field="4294967294" count="2">
            <x v="0"/>
            <x v="1"/>
          </reference>
        </references>
      </pivotArea>
    </format>
    <format dxfId="1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6" cacheId="7" applyNumberFormats="0" applyBorderFormats="0" applyFontFormats="0" applyPatternFormats="0" applyAlignmentFormats="0" applyWidthHeightFormats="1" dataCaption="Values" updatedVersion="3" minRefreshableVersion="3" useAutoFormatting="1" itemPrintTitles="1" createdVersion="6" indent="0" outline="1" outlineData="1" multipleFieldFilters="0">
  <location ref="Y3:AA9" firstHeaderRow="1" firstDataRow="2" firstDataCol="1"/>
  <pivotFields count="12">
    <pivotField numFmtId="17" showAll="0"/>
    <pivotField showAll="0"/>
    <pivotField dataField="1" showAll="0"/>
    <pivotField showAll="0"/>
    <pivotField showAll="0"/>
    <pivotField showAll="0"/>
    <pivotField showAll="0"/>
    <pivotField axis="axisRow" showAll="0">
      <items count="7">
        <item x="0"/>
        <item x="2"/>
        <item x="3"/>
        <item x="1"/>
        <item m="1" x="5"/>
        <item m="1" x="4"/>
        <item t="default"/>
      </items>
    </pivotField>
    <pivotField showAll="0"/>
    <pivotField showAll="0"/>
    <pivotField numFmtId="168" showAll="0"/>
    <pivotField dataField="1" showAll="0"/>
  </pivotFields>
  <rowFields count="1">
    <field x="7"/>
  </rowFields>
  <rowItems count="5">
    <i>
      <x/>
    </i>
    <i>
      <x v="1"/>
    </i>
    <i>
      <x v="2"/>
    </i>
    <i>
      <x v="3"/>
    </i>
    <i t="grand">
      <x/>
    </i>
  </rowItems>
  <colFields count="1">
    <field x="-2"/>
  </colFields>
  <colItems count="2">
    <i>
      <x/>
    </i>
    <i i="1">
      <x v="1"/>
    </i>
  </colItems>
  <dataFields count="2">
    <dataField name="Sum of TONASE" fld="2" baseField="0" baseItem="0" numFmtId="1"/>
    <dataField name="Sum of TARGET TONASE" fld="11" baseField="0" baseItem="0"/>
  </dataFields>
  <formats count="8">
    <format dxfId="130">
      <pivotArea outline="0" collapsedLevelsAreSubtotals="1" fieldPosition="0">
        <references count="1">
          <reference field="4294967294" count="1" selected="0">
            <x v="0"/>
          </reference>
        </references>
      </pivotArea>
    </format>
    <format dxfId="129">
      <pivotArea collapsedLevelsAreSubtotals="1" fieldPosition="0">
        <references count="2">
          <reference field="4294967294" count="1" selected="0">
            <x v="1"/>
          </reference>
          <reference field="7" count="0"/>
        </references>
      </pivotArea>
    </format>
    <format dxfId="128">
      <pivotArea field="7" type="button" dataOnly="0" labelOnly="1" outline="0" axis="axisRow" fieldPosition="0"/>
    </format>
    <format dxfId="127">
      <pivotArea dataOnly="0" labelOnly="1" outline="0" fieldPosition="0">
        <references count="1">
          <reference field="4294967294" count="2">
            <x v="0"/>
            <x v="1"/>
          </reference>
        </references>
      </pivotArea>
    </format>
    <format dxfId="126">
      <pivotArea field="7" type="button" dataOnly="0" labelOnly="1" outline="0" axis="axisRow" fieldPosition="0"/>
    </format>
    <format dxfId="125">
      <pivotArea dataOnly="0" labelOnly="1" outline="0" fieldPosition="0">
        <references count="1">
          <reference field="4294967294" count="2">
            <x v="0"/>
            <x v="1"/>
          </reference>
        </references>
      </pivotArea>
    </format>
    <format dxfId="124">
      <pivotArea field="7" type="button" dataOnly="0" labelOnly="1" outline="0" axis="axisRow" fieldPosition="0"/>
    </format>
    <format dxfId="12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LY1" xr10:uid="{519FBAAC-CEF3-420D-BA68-3FC01EBECF90}" sourceName="YEARLY">
  <pivotTables>
    <pivotTable tabId="6" name="PivotTable2"/>
    <pivotTable tabId="6" name="PivotTable1"/>
    <pivotTable tabId="6" name="PivotTable6"/>
    <pivotTable tabId="6" name="PivotTable3"/>
    <pivotTable tabId="6" name="PivotTable7"/>
    <pivotTable tabId="6" name="PivotTable4"/>
    <pivotTable tabId="6" name="PivotTable8"/>
  </pivotTables>
  <data>
    <tabular pivotCacheId="810895774" customListSort="0" showMissing="0">
      <items count="3">
        <i x="0"/>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 xr10:uid="{E65CB3B9-701E-4B50-8175-B62A56BF5BCC}" sourceName="MONTHLY">
  <pivotTables>
    <pivotTable tabId="6" name="PivotTable2"/>
    <pivotTable tabId="6" name="PivotTable1"/>
    <pivotTable tabId="6" name="PivotTable6"/>
    <pivotTable tabId="6" name="PivotTable3"/>
    <pivotTable tabId="6" name="PivotTable4"/>
  </pivotTables>
  <data>
    <tabular pivotCacheId="810895774" showMissing="0">
      <items count="14">
        <i x="0"/>
        <i x="1"/>
        <i x="2"/>
        <i x="3"/>
        <i x="4"/>
        <i x="5"/>
        <i x="6"/>
        <i x="7"/>
        <i x="8"/>
        <i x="9"/>
        <i x="10"/>
        <i x="11" s="1"/>
        <i x="13" nd="1"/>
        <i x="1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ESTER" xr10:uid="{87D82E65-A3A1-4075-A801-BF607EE48291}" sourceName="SEMESTER">
  <pivotTables>
    <pivotTable tabId="6" name="PivotTable7"/>
  </pivotTables>
  <data>
    <tabular pivotCacheId="810895774">
      <items count="3">
        <i x="0" s="1"/>
        <i x="1"/>
        <i x="2"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IDIARY" xr10:uid="{F67319E1-5F0F-4EE0-8FD2-8ECBFCAB7F7B}" sourceName="SUBSIDIARY">
  <pivotTables>
    <pivotTable tabId="6" name="PivotTable8"/>
  </pivotTables>
  <data>
    <tabular pivotCacheId="810895774">
      <items count="6">
        <i x="0" s="1"/>
        <i x="2" s="1"/>
        <i x="3" s="1"/>
        <i x="1" s="1"/>
        <i x="5"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LY" xr10:uid="{D94FB165-A297-468F-829D-E3083AA5BB1A}" cache="Slicer_YEARLY1" caption="YEARLY" rowHeight="230716"/>
  <slicer name="MONTHLY" xr10:uid="{057D8111-F939-4DFD-8A08-0771E25D93CC}" cache="Slicer_MONTHLY" caption="MONTHLY" startItem="3" rowHeight="230716"/>
  <slicer name="SEMESTER" xr10:uid="{3DC05CBC-5BF9-43AF-81A7-1D4356CA3167}" cache="Slicer_SEMESTER" caption="SEMESTER" rowHeight="230716"/>
  <slicer name="SUBSIDIARY" xr10:uid="{8F06F10E-D809-4E00-8AC6-48783FFC837A}" cache="Slicer_SUBSIDIARY" caption="SUBSIDIARY"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LY 1" xr10:uid="{2CE1E319-1142-49CE-ACD3-F37F475DAF4D}" cache="Slicer_YEARLY1" caption="YEAR" style="SlicerStyleDark KS" rowHeight="230716"/>
  <slicer name="MONTHLY 1" xr10:uid="{564A75B4-BB7B-4D08-8B6E-1524DB40D481}" cache="Slicer_MONTHLY" caption="MONTH" style="SlicerStyleDark KS" rowHeight="230716"/>
  <slicer name="SEMESTER 1" xr10:uid="{DCCBD3E2-B66F-459A-97AA-17FF15F47390}" cache="Slicer_SEMESTER" caption="SMT" style="SlicerStyleDark KS" rowHeight="230716"/>
</slicers>
</file>

<file path=xl/tables/table1.xml><?xml version="1.0" encoding="utf-8"?>
<table xmlns="http://schemas.openxmlformats.org/spreadsheetml/2006/main" id="1" name="Master" displayName="Master" ref="A1:C17" totalsRowShown="0" headerRowDxfId="144">
  <autoFilter ref="A1:C17"/>
  <tableColumns count="3">
    <tableColumn id="1" name="PRODUCT ID"/>
    <tableColumn id="2" name="PRODUCT"/>
    <tableColumn id="3" name="SUBSIDIARY"/>
  </tableColumns>
  <tableStyleInfo name="TableStyleLight13" showFirstColumn="0" showLastColumn="0" showRowStripes="1" showColumnStripes="0"/>
</table>
</file>

<file path=xl/tables/table2.xml><?xml version="1.0" encoding="utf-8"?>
<table xmlns="http://schemas.openxmlformats.org/spreadsheetml/2006/main" id="4" name="InputData" displayName="InputData" ref="A1:L389" totalsRowShown="0" headerRowDxfId="143" dataDxfId="142">
  <autoFilter ref="A1:L389"/>
  <tableColumns count="12">
    <tableColumn id="1" name="MONTH" dataDxfId="141"/>
    <tableColumn id="2" name="PRODUCT ID" dataDxfId="140"/>
    <tableColumn id="3" name="TONASE" dataDxfId="65"/>
    <tableColumn id="4" name="REVENUE" dataDxfId="139" dataCellStyle="Comma"/>
    <tableColumn id="5" name="GROSS PROFIT" dataDxfId="138" dataCellStyle="Comma"/>
    <tableColumn id="8" name="GROSS PROFIT MARGIN" dataDxfId="137" dataCellStyle="Comma">
      <calculatedColumnFormula>IFERROR((InputData[[#This Row],[GROSS PROFIT]]/InputData[[#This Row],[REVENUE]])*100%,0)</calculatedColumnFormula>
    </tableColumn>
    <tableColumn id="6" name="PRODUCT" dataDxfId="136"/>
    <tableColumn id="7" name="SUBSIDIARY" dataDxfId="135">
      <calculatedColumnFormula>VLOOKUP(InputData[[#This Row],[PRODUCT ID]],Master[],3,0)</calculatedColumnFormula>
    </tableColumn>
    <tableColumn id="9" name="MONTHLY" dataDxfId="134">
      <calculatedColumnFormula>TEXT(InputData[[#This Row],[MONTH]],"MMMMMM")</calculatedColumnFormula>
    </tableColumn>
    <tableColumn id="12" name="YEARLY" dataDxfId="133">
      <calculatedColumnFormula>YEAR(InputData[[#This Row],[MONTH]])</calculatedColumnFormula>
    </tableColumn>
    <tableColumn id="10" name="SEMESTER" dataDxfId="132">
      <calculatedColumnFormula>"SMT-"&amp;CHOOSE(MONTH(InputData[[#This Row],[MONTH]]),1,1,1,1,1,1,2,2,2,2,2,2)</calculatedColumnFormula>
    </tableColumn>
    <tableColumn id="11" name="TARGET TONASE" dataDxfId="131"/>
  </tableColumns>
  <tableStyleInfo name="TableStyleLight1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Integral">
      <a:majorFont>
        <a:latin typeface="Tw Cen MT Condensed"/>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xmlns=""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3.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sheetPr codeName="Sheet1">
    <tabColor rgb="FFFF0000"/>
  </sheetPr>
  <dimension ref="A1:C17"/>
  <sheetViews>
    <sheetView workbookViewId="0">
      <selection activeCell="A5" sqref="A5"/>
    </sheetView>
  </sheetViews>
  <sheetFormatPr defaultRowHeight="14.25"/>
  <cols>
    <col min="1" max="1" width="15.875" customWidth="1"/>
    <col min="2" max="2" width="24.375" customWidth="1"/>
    <col min="3" max="3" width="16.125" customWidth="1"/>
  </cols>
  <sheetData>
    <row r="1" spans="1:3">
      <c r="A1" s="1" t="s">
        <v>6</v>
      </c>
      <c r="B1" s="1" t="s">
        <v>7</v>
      </c>
      <c r="C1" s="1" t="s">
        <v>8</v>
      </c>
    </row>
    <row r="2" spans="1:3">
      <c r="A2" t="s">
        <v>4</v>
      </c>
      <c r="B2" t="s">
        <v>5</v>
      </c>
      <c r="C2" t="s">
        <v>0</v>
      </c>
    </row>
    <row r="3" spans="1:3">
      <c r="A3" t="s">
        <v>9</v>
      </c>
      <c r="B3" t="s">
        <v>10</v>
      </c>
      <c r="C3" t="s">
        <v>0</v>
      </c>
    </row>
    <row r="4" spans="1:3">
      <c r="A4" t="s">
        <v>11</v>
      </c>
      <c r="B4" t="s">
        <v>34</v>
      </c>
      <c r="C4" t="s">
        <v>0</v>
      </c>
    </row>
    <row r="5" spans="1:3">
      <c r="A5" t="s">
        <v>12</v>
      </c>
      <c r="B5" t="s">
        <v>13</v>
      </c>
      <c r="C5" t="s">
        <v>1</v>
      </c>
    </row>
    <row r="6" spans="1:3">
      <c r="A6" t="s">
        <v>14</v>
      </c>
      <c r="B6" t="s">
        <v>15</v>
      </c>
      <c r="C6" t="s">
        <v>1</v>
      </c>
    </row>
    <row r="7" spans="1:3">
      <c r="A7" t="s">
        <v>16</v>
      </c>
      <c r="B7" t="s">
        <v>26</v>
      </c>
      <c r="C7" t="s">
        <v>1</v>
      </c>
    </row>
    <row r="8" spans="1:3">
      <c r="A8" t="s">
        <v>17</v>
      </c>
      <c r="B8" t="s">
        <v>27</v>
      </c>
      <c r="C8" t="s">
        <v>1</v>
      </c>
    </row>
    <row r="9" spans="1:3">
      <c r="A9" t="s">
        <v>18</v>
      </c>
      <c r="B9" t="s">
        <v>33</v>
      </c>
      <c r="C9" t="s">
        <v>2</v>
      </c>
    </row>
    <row r="10" spans="1:3">
      <c r="A10" t="s">
        <v>19</v>
      </c>
      <c r="B10" t="s">
        <v>53</v>
      </c>
      <c r="C10" t="s">
        <v>2</v>
      </c>
    </row>
    <row r="11" spans="1:3">
      <c r="A11" t="s">
        <v>20</v>
      </c>
      <c r="B11" t="s">
        <v>28</v>
      </c>
      <c r="C11" t="s">
        <v>2</v>
      </c>
    </row>
    <row r="12" spans="1:3">
      <c r="A12" t="s">
        <v>21</v>
      </c>
      <c r="B12" t="s">
        <v>29</v>
      </c>
      <c r="C12" t="s">
        <v>3</v>
      </c>
    </row>
    <row r="13" spans="1:3">
      <c r="A13" t="s">
        <v>22</v>
      </c>
      <c r="B13" t="s">
        <v>30</v>
      </c>
      <c r="C13" t="s">
        <v>0</v>
      </c>
    </row>
    <row r="14" spans="1:3">
      <c r="A14" t="s">
        <v>23</v>
      </c>
      <c r="B14" t="s">
        <v>31</v>
      </c>
      <c r="C14" t="s">
        <v>2</v>
      </c>
    </row>
    <row r="15" spans="1:3">
      <c r="A15" t="s">
        <v>24</v>
      </c>
      <c r="B15" t="s">
        <v>32</v>
      </c>
      <c r="C15" t="s">
        <v>0</v>
      </c>
    </row>
    <row r="16" spans="1:3">
      <c r="A16" t="s">
        <v>25</v>
      </c>
      <c r="B16" t="s">
        <v>38</v>
      </c>
      <c r="C16" t="s">
        <v>3</v>
      </c>
    </row>
    <row r="17" spans="1:3">
      <c r="A17" t="s">
        <v>75</v>
      </c>
      <c r="B17" s="61" t="s">
        <v>76</v>
      </c>
      <c r="C17" s="61" t="s">
        <v>2</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sheetPr codeName="Sheet2">
    <tabColor theme="4"/>
  </sheetPr>
  <dimension ref="A1:L406"/>
  <sheetViews>
    <sheetView tabSelected="1" topLeftCell="B1" zoomScale="110" zoomScaleNormal="110" workbookViewId="0">
      <pane ySplit="1" topLeftCell="A179" activePane="bottomLeft" state="frozen"/>
      <selection pane="bottomLeft" activeCell="F399" sqref="F399"/>
    </sheetView>
  </sheetViews>
  <sheetFormatPr defaultColWidth="8.625" defaultRowHeight="14.25"/>
  <cols>
    <col min="1" max="1" width="11.875" style="3" customWidth="1"/>
    <col min="2" max="2" width="15.75" style="3" customWidth="1"/>
    <col min="3" max="3" width="13.875" style="6" customWidth="1"/>
    <col min="4" max="4" width="17.375" style="7" customWidth="1"/>
    <col min="5" max="5" width="17.375" style="5" customWidth="1"/>
    <col min="6" max="6" width="25" style="5" customWidth="1"/>
    <col min="7" max="7" width="24.375" style="3" customWidth="1"/>
    <col min="8" max="8" width="15.125" style="3" customWidth="1"/>
    <col min="9" max="9" width="12.375" style="3" customWidth="1"/>
    <col min="10" max="10" width="11.25" style="3" customWidth="1"/>
    <col min="11" max="11" width="12.625" style="3" bestFit="1" customWidth="1"/>
    <col min="12" max="12" width="18.375" style="3" bestFit="1" customWidth="1"/>
    <col min="13" max="13" width="13.75" style="3" customWidth="1"/>
    <col min="14" max="14" width="13.5" style="3" customWidth="1"/>
    <col min="15" max="15" width="17.875" style="3" customWidth="1"/>
    <col min="16" max="16" width="19" style="3" customWidth="1"/>
    <col min="17" max="17" width="23.375" style="3" customWidth="1"/>
    <col min="18" max="16384" width="8.625" style="3"/>
  </cols>
  <sheetData>
    <row r="1" spans="1:12" s="1" customFormat="1">
      <c r="A1" s="1" t="s">
        <v>35</v>
      </c>
      <c r="B1" s="1" t="s">
        <v>6</v>
      </c>
      <c r="C1" s="1" t="s">
        <v>42</v>
      </c>
      <c r="D1" s="1" t="s">
        <v>36</v>
      </c>
      <c r="E1" s="1" t="s">
        <v>37</v>
      </c>
      <c r="F1" s="1" t="s">
        <v>39</v>
      </c>
      <c r="G1" s="1" t="s">
        <v>7</v>
      </c>
      <c r="H1" s="1" t="s">
        <v>8</v>
      </c>
      <c r="I1" s="1" t="s">
        <v>40</v>
      </c>
      <c r="J1" s="1" t="s">
        <v>41</v>
      </c>
      <c r="K1" s="1" t="s">
        <v>54</v>
      </c>
      <c r="L1" s="1" t="s">
        <v>48</v>
      </c>
    </row>
    <row r="2" spans="1:12">
      <c r="A2" s="4">
        <v>44927</v>
      </c>
      <c r="B2" s="3" t="s">
        <v>4</v>
      </c>
      <c r="C2" s="6">
        <v>157.6</v>
      </c>
      <c r="D2" s="7">
        <f>'[1]Realisasi Hilirisasi'!F7</f>
        <v>3546000000</v>
      </c>
      <c r="E2" s="5">
        <f>'[1]Realisasi Hilirisasi'!$H$7</f>
        <v>425520000</v>
      </c>
      <c r="F2" s="9">
        <f>IFERROR((InputData[[#This Row],[GROSS PROFIT]]/InputData[[#This Row],[REVENUE]])*100%,0)</f>
        <v>0.12</v>
      </c>
      <c r="G2" s="3" t="str">
        <f>VLOOKUP(InputData[[#This Row],[PRODUCT ID]],Master[],2,0)</f>
        <v>Tower</v>
      </c>
      <c r="H2" s="3" t="str">
        <f>VLOOKUP(InputData[[#This Row],[PRODUCT ID]],Master[],3,0)</f>
        <v>KBK</v>
      </c>
      <c r="I2" s="3" t="str">
        <f>TEXT(InputData[[#This Row],[MONTH]],"MMMMMM")</f>
        <v>January</v>
      </c>
      <c r="J2" s="3">
        <f>YEAR(InputData[[#This Row],[MONTH]])</f>
        <v>2023</v>
      </c>
      <c r="K2" s="14" t="str">
        <f>"SMT-"&amp;CHOOSE(MONTH(InputData[[#This Row],[MONTH]]),1,1,1,1,1,1,2,2,2,2,2,2)</f>
        <v>SMT-1</v>
      </c>
      <c r="L2" s="20">
        <f>'[1]Per AP#2'!$D$5</f>
        <v>299.42000000000007</v>
      </c>
    </row>
    <row r="3" spans="1:12">
      <c r="A3" s="4">
        <v>44927</v>
      </c>
      <c r="B3" s="3" t="s">
        <v>9</v>
      </c>
      <c r="C3" s="6">
        <v>157.80000000000001</v>
      </c>
      <c r="D3" s="7">
        <f>'[1]Realisasi Hilirisasi'!F8</f>
        <v>4102702725</v>
      </c>
      <c r="E3" s="5">
        <f>'[1]Realisasi Hilirisasi'!$H$8</f>
        <v>328216218</v>
      </c>
      <c r="F3" s="9">
        <f>IFERROR((InputData[[#This Row],[GROSS PROFIT]]/InputData[[#This Row],[REVENUE]])*100%,0)</f>
        <v>0.08</v>
      </c>
      <c r="G3" s="3" t="str">
        <f>VLOOKUP(InputData[[#This Row],[PRODUCT ID]],Master[],2,0)</f>
        <v>Steel Structure</v>
      </c>
      <c r="H3" s="3" t="str">
        <f>VLOOKUP(InputData[[#This Row],[PRODUCT ID]],Master[],3,0)</f>
        <v>KBK</v>
      </c>
      <c r="I3" s="3" t="str">
        <f>TEXT(InputData[[#This Row],[MONTH]],"MMMMMM")</f>
        <v>January</v>
      </c>
      <c r="J3" s="3">
        <f>YEAR(InputData[[#This Row],[MONTH]])</f>
        <v>2023</v>
      </c>
      <c r="K3" s="14" t="str">
        <f>"SMT-"&amp;CHOOSE(MONTH(InputData[[#This Row],[MONTH]]),1,1,1,1,1,1,2,2,2,2,2,2)</f>
        <v>SMT-1</v>
      </c>
      <c r="L3" s="48">
        <v>0</v>
      </c>
    </row>
    <row r="4" spans="1:12">
      <c r="A4" s="4">
        <v>44927</v>
      </c>
      <c r="B4" s="3" t="s">
        <v>11</v>
      </c>
      <c r="C4" s="6">
        <v>1.2</v>
      </c>
      <c r="D4" s="7">
        <f>'[1]Realisasi Hilirisasi'!F9</f>
        <v>46950000</v>
      </c>
      <c r="E4" s="5">
        <f>'[1]Realisasi Hilirisasi'!$H$9</f>
        <v>16432499.999999998</v>
      </c>
      <c r="F4" s="9">
        <f>IFERROR((InputData[[#This Row],[GROSS PROFIT]]/InputData[[#This Row],[REVENUE]])*100%,0)</f>
        <v>0.35</v>
      </c>
      <c r="G4" s="3" t="str">
        <f>VLOOKUP(InputData[[#This Row],[PRODUCT ID]],Master[],2,0)</f>
        <v>Steel Creative &amp; Component</v>
      </c>
      <c r="H4" s="3" t="str">
        <f>VLOOKUP(InputData[[#This Row],[PRODUCT ID]],Master[],3,0)</f>
        <v>KBK</v>
      </c>
      <c r="I4" s="3" t="str">
        <f>TEXT(InputData[[#This Row],[MONTH]],"MMMMMM")</f>
        <v>January</v>
      </c>
      <c r="J4" s="3">
        <f>YEAR(InputData[[#This Row],[MONTH]])</f>
        <v>2023</v>
      </c>
      <c r="K4" s="14" t="str">
        <f>"SMT-"&amp;CHOOSE(MONTH(InputData[[#This Row],[MONTH]]),1,1,1,1,1,1,2,2,2,2,2,2)</f>
        <v>SMT-1</v>
      </c>
      <c r="L4" s="48">
        <v>0</v>
      </c>
    </row>
    <row r="5" spans="1:12">
      <c r="A5" s="4">
        <v>44927</v>
      </c>
      <c r="B5" s="3" t="s">
        <v>12</v>
      </c>
      <c r="C5" s="6">
        <v>138</v>
      </c>
      <c r="D5" s="7">
        <f>'[1]Realisasi Hilirisasi'!$F$13</f>
        <v>3447663576.1589403</v>
      </c>
      <c r="E5" s="5">
        <f>'[1]Realisasi Hilirisasi'!$H$13</f>
        <v>259758739.07284766</v>
      </c>
      <c r="F5" s="9">
        <f>IFERROR((InputData[[#This Row],[GROSS PROFIT]]/InputData[[#This Row],[REVENUE]])*100%,0)</f>
        <v>7.5343412526997833E-2</v>
      </c>
      <c r="G5" s="3" t="str">
        <f>VLOOKUP(InputData[[#This Row],[PRODUCT ID]],Master[],2,0)</f>
        <v>Electric Pole</v>
      </c>
      <c r="H5" s="3" t="str">
        <f>VLOOKUP(InputData[[#This Row],[PRODUCT ID]],Master[],3,0)</f>
        <v>KPI</v>
      </c>
      <c r="I5" s="3" t="str">
        <f>TEXT(InputData[[#This Row],[MONTH]],"MMMMMM")</f>
        <v>January</v>
      </c>
      <c r="J5" s="3">
        <f>YEAR(InputData[[#This Row],[MONTH]])</f>
        <v>2023</v>
      </c>
      <c r="K5" s="14" t="str">
        <f>"SMT-"&amp;CHOOSE(MONTH(InputData[[#This Row],[MONTH]]),1,1,1,1,1,1,2,2,2,2,2,2)</f>
        <v>SMT-1</v>
      </c>
      <c r="L5" s="20">
        <f>'[1]Per AP#2'!$D$6</f>
        <v>500</v>
      </c>
    </row>
    <row r="6" spans="1:12">
      <c r="A6" s="4">
        <v>44927</v>
      </c>
      <c r="B6" s="3" t="s">
        <v>17</v>
      </c>
      <c r="C6" s="6">
        <v>4</v>
      </c>
      <c r="D6" s="7">
        <f>'[1]Realisasi Hilirisasi'!$F$16</f>
        <v>101881064.90066226</v>
      </c>
      <c r="E6" s="5">
        <f>'[1]Realisasi Hilirisasi'!$H$16</f>
        <v>5094053.2450331133</v>
      </c>
      <c r="F6" s="9">
        <f>IFERROR((InputData[[#This Row],[GROSS PROFIT]]/InputData[[#This Row],[REVENUE]])*100%,0)</f>
        <v>0.05</v>
      </c>
      <c r="G6" s="3" t="str">
        <f>VLOOKUP(InputData[[#This Row],[PRODUCT ID]],Master[],2,0)</f>
        <v>Bends Pipe</v>
      </c>
      <c r="H6" s="3" t="str">
        <f>VLOOKUP(InputData[[#This Row],[PRODUCT ID]],Master[],3,0)</f>
        <v>KPI</v>
      </c>
      <c r="I6" s="3" t="str">
        <f>TEXT(InputData[[#This Row],[MONTH]],"MMMMMM")</f>
        <v>January</v>
      </c>
      <c r="J6" s="3">
        <f>YEAR(InputData[[#This Row],[MONTH]])</f>
        <v>2023</v>
      </c>
      <c r="K6" s="14" t="str">
        <f>"SMT-"&amp;CHOOSE(MONTH(InputData[[#This Row],[MONTH]]),1,1,1,1,1,1,2,2,2,2,2,2)</f>
        <v>SMT-1</v>
      </c>
      <c r="L6" s="48">
        <v>0</v>
      </c>
    </row>
    <row r="7" spans="1:12">
      <c r="A7" s="4">
        <v>44927</v>
      </c>
      <c r="B7" s="3" t="s">
        <v>18</v>
      </c>
      <c r="C7" s="6">
        <v>165</v>
      </c>
      <c r="D7" s="7">
        <f>'[1]Realisasi Hilirisasi'!$F$20</f>
        <v>2356440527</v>
      </c>
      <c r="E7" s="5">
        <f>'[1]Realisasi Hilirisasi'!$H$20</f>
        <v>117822026.35000001</v>
      </c>
      <c r="F7" s="9">
        <f>IFERROR((InputData[[#This Row],[GROSS PROFIT]]/InputData[[#This Row],[REVENUE]])*100%,0)</f>
        <v>0.05</v>
      </c>
      <c r="G7" s="3" t="str">
        <f>VLOOKUP(InputData[[#This Row],[PRODUCT ID]],Master[],2,0)</f>
        <v>Galvanized &amp; Galvalume</v>
      </c>
      <c r="H7" s="3" t="str">
        <f>VLOOKUP(InputData[[#This Row],[PRODUCT ID]],Master[],3,0)</f>
        <v>KNI</v>
      </c>
      <c r="I7" s="3" t="str">
        <f>TEXT(InputData[[#This Row],[MONTH]],"MMMMMM")</f>
        <v>January</v>
      </c>
      <c r="J7" s="3">
        <f>YEAR(InputData[[#This Row],[MONTH]])</f>
        <v>2023</v>
      </c>
      <c r="K7" s="14" t="str">
        <f>"SMT-"&amp;CHOOSE(MONTH(InputData[[#This Row],[MONTH]]),1,1,1,1,1,1,2,2,2,2,2,2)</f>
        <v>SMT-1</v>
      </c>
      <c r="L7" s="20">
        <f>'[1]Per AP#2'!$D$7</f>
        <v>543</v>
      </c>
    </row>
    <row r="8" spans="1:12">
      <c r="A8" s="4">
        <v>44927</v>
      </c>
      <c r="B8" s="3" t="s">
        <v>19</v>
      </c>
      <c r="C8" s="6">
        <v>890</v>
      </c>
      <c r="D8" s="7">
        <f>'[1]Realisasi Hilirisasi'!F21</f>
        <v>9051095705</v>
      </c>
      <c r="E8" s="5">
        <f>'[1]Realisasi Hilirisasi'!$H$21</f>
        <v>135766435.57499999</v>
      </c>
      <c r="F8" s="9">
        <f>IFERROR((InputData[[#This Row],[GROSS PROFIT]]/InputData[[#This Row],[REVENUE]])*100%,0)</f>
        <v>1.4999999999999999E-2</v>
      </c>
      <c r="G8" s="3" t="str">
        <f>VLOOKUP(InputData[[#This Row],[PRODUCT ID]],Master[],2,0)</f>
        <v>Baja Ringan</v>
      </c>
      <c r="H8" s="3" t="str">
        <f>VLOOKUP(InputData[[#This Row],[PRODUCT ID]],Master[],3,0)</f>
        <v>KNI</v>
      </c>
      <c r="I8" s="3" t="str">
        <f>TEXT(InputData[[#This Row],[MONTH]],"MMMMMM")</f>
        <v>January</v>
      </c>
      <c r="J8" s="3">
        <f>YEAR(InputData[[#This Row],[MONTH]])</f>
        <v>2023</v>
      </c>
      <c r="K8" s="14" t="str">
        <f>"SMT-"&amp;CHOOSE(MONTH(InputData[[#This Row],[MONTH]]),1,1,1,1,1,1,2,2,2,2,2,2)</f>
        <v>SMT-1</v>
      </c>
      <c r="L8" s="48">
        <v>0</v>
      </c>
    </row>
    <row r="9" spans="1:12">
      <c r="A9" s="4">
        <v>44927</v>
      </c>
      <c r="B9" s="3" t="s">
        <v>20</v>
      </c>
      <c r="C9" s="6">
        <v>26</v>
      </c>
      <c r="D9" s="7">
        <f>'[1]Realisasi Hilirisasi'!F22</f>
        <v>232756675</v>
      </c>
      <c r="E9" s="5">
        <f>'[1]Realisasi Hilirisasi'!$H$22</f>
        <v>3491350.125</v>
      </c>
      <c r="F9" s="9">
        <f>IFERROR((InputData[[#This Row],[GROSS PROFIT]]/InputData[[#This Row],[REVENUE]])*100%,0)</f>
        <v>1.4999999999999999E-2</v>
      </c>
      <c r="G9" s="3" t="str">
        <f>VLOOKUP(InputData[[#This Row],[PRODUCT ID]],Master[],2,0)</f>
        <v>CNP</v>
      </c>
      <c r="H9" s="3" t="str">
        <f>VLOOKUP(InputData[[#This Row],[PRODUCT ID]],Master[],3,0)</f>
        <v>KNI</v>
      </c>
      <c r="I9" s="3" t="str">
        <f>TEXT(InputData[[#This Row],[MONTH]],"MMMMMM")</f>
        <v>January</v>
      </c>
      <c r="J9" s="3">
        <f>YEAR(InputData[[#This Row],[MONTH]])</f>
        <v>2023</v>
      </c>
      <c r="K9" s="14" t="str">
        <f>"SMT-"&amp;CHOOSE(MONTH(InputData[[#This Row],[MONTH]]),1,1,1,1,1,1,2,2,2,2,2,2)</f>
        <v>SMT-1</v>
      </c>
      <c r="L9" s="48">
        <v>0</v>
      </c>
    </row>
    <row r="10" spans="1:12">
      <c r="A10" s="4">
        <v>44927</v>
      </c>
      <c r="B10" s="3" t="s">
        <v>23</v>
      </c>
      <c r="C10" s="8">
        <v>34</v>
      </c>
      <c r="D10" s="7">
        <f>'[1]Realisasi Hilirisasi'!$F$24+'[1]Realisasi Hilirisasi'!$F$23</f>
        <v>484126572</v>
      </c>
      <c r="E10" s="5">
        <f>'[1]Realisasi Hilirisasi'!$H$23+'[1]Realisasi Hilirisasi'!$H$24</f>
        <v>7261898.5799999991</v>
      </c>
      <c r="F10" s="9">
        <f>IFERROR((InputData[[#This Row],[GROSS PROFIT]]/InputData[[#This Row],[REVENUE]])*100%,0)</f>
        <v>1.4999999999999998E-2</v>
      </c>
      <c r="G10" s="3" t="str">
        <f>VLOOKUP(InputData[[#This Row],[PRODUCT ID]],Master[],2,0)</f>
        <v>Other Product</v>
      </c>
      <c r="H10" s="3" t="str">
        <f>VLOOKUP(InputData[[#This Row],[PRODUCT ID]],Master[],3,0)</f>
        <v>KNI</v>
      </c>
      <c r="I10" s="3" t="str">
        <f>TEXT(InputData[[#This Row],[MONTH]],"MMMMMM")</f>
        <v>January</v>
      </c>
      <c r="J10" s="3">
        <f>YEAR(InputData[[#This Row],[MONTH]])</f>
        <v>2023</v>
      </c>
      <c r="K10" s="14" t="str">
        <f>"SMT-"&amp;CHOOSE(MONTH(InputData[[#This Row],[MONTH]]),1,1,1,1,1,1,2,2,2,2,2,2)</f>
        <v>SMT-1</v>
      </c>
      <c r="L10" s="48">
        <v>0</v>
      </c>
    </row>
    <row r="11" spans="1:12">
      <c r="A11" s="4">
        <v>44927</v>
      </c>
      <c r="B11" s="3" t="s">
        <v>21</v>
      </c>
      <c r="C11" s="8">
        <v>85.71</v>
      </c>
      <c r="D11" s="7">
        <f>'[1]Realisasi Hilirisasi'!$F$29</f>
        <v>1500000000</v>
      </c>
      <c r="E11" s="5">
        <f>'[1]Realisasi Hilirisasi'!$H$29</f>
        <v>120000000</v>
      </c>
      <c r="F11" s="9">
        <f>IFERROR((InputData[[#This Row],[GROSS PROFIT]]/InputData[[#This Row],[REVENUE]])*100%,0)</f>
        <v>0.08</v>
      </c>
      <c r="G11" s="3" t="str">
        <f>VLOOKUP(InputData[[#This Row],[PRODUCT ID]],Master[],2,0)</f>
        <v>Welded Beam</v>
      </c>
      <c r="H11" s="3" t="str">
        <f>VLOOKUP(InputData[[#This Row],[PRODUCT ID]],Master[],3,0)</f>
        <v>KPdP</v>
      </c>
      <c r="I11" s="3" t="str">
        <f>TEXT(InputData[[#This Row],[MONTH]],"MMMMMM")</f>
        <v>January</v>
      </c>
      <c r="J11" s="3">
        <f>YEAR(InputData[[#This Row],[MONTH]])</f>
        <v>2023</v>
      </c>
      <c r="K11" s="14" t="str">
        <f>"SMT-"&amp;CHOOSE(MONTH(InputData[[#This Row],[MONTH]]),1,1,1,1,1,1,2,2,2,2,2,2)</f>
        <v>SMT-1</v>
      </c>
      <c r="L11" s="20">
        <f>'[1]Per AP#2'!$D$8</f>
        <v>157.58000000000001</v>
      </c>
    </row>
    <row r="12" spans="1:12">
      <c r="A12" s="4">
        <v>44958</v>
      </c>
      <c r="B12" s="3" t="s">
        <v>4</v>
      </c>
      <c r="C12" s="8">
        <f>'[1]Realisasi Hilirisasi'!E37</f>
        <v>86.868283565217382</v>
      </c>
      <c r="D12" s="7">
        <f>'[1]Realisasi Hilirisasi'!F37</f>
        <v>1997970582</v>
      </c>
      <c r="E12" s="5">
        <f>'[1]Realisasi Hilirisasi'!H37</f>
        <v>199797058.20000002</v>
      </c>
      <c r="F12" s="9">
        <f>IFERROR((InputData[[#This Row],[GROSS PROFIT]]/InputData[[#This Row],[REVENUE]])*100%,0)</f>
        <v>0.1</v>
      </c>
      <c r="G12" s="3" t="str">
        <f>VLOOKUP(InputData[[#This Row],[PRODUCT ID]],Master[],2,0)</f>
        <v>Tower</v>
      </c>
      <c r="H12" s="3" t="str">
        <f>VLOOKUP(InputData[[#This Row],[PRODUCT ID]],Master[],3,0)</f>
        <v>KBK</v>
      </c>
      <c r="I12" s="3" t="str">
        <f>TEXT(InputData[[#This Row],[MONTH]],"MMMMMM")</f>
        <v>February</v>
      </c>
      <c r="J12" s="3">
        <f>YEAR(InputData[[#This Row],[MONTH]])</f>
        <v>2023</v>
      </c>
      <c r="K12" s="14" t="str">
        <f>"SMT-"&amp;CHOOSE(MONTH(InputData[[#This Row],[MONTH]]),1,1,1,1,1,1,2,2,2,2,2,2)</f>
        <v>SMT-1</v>
      </c>
      <c r="L12" s="20">
        <f>'[1]Per AP#2'!$E$5</f>
        <v>299.42000000000007</v>
      </c>
    </row>
    <row r="13" spans="1:12">
      <c r="A13" s="4">
        <v>44958</v>
      </c>
      <c r="B13" s="3" t="s">
        <v>9</v>
      </c>
      <c r="C13" s="8">
        <f>'[1]Realisasi Hilirisasi'!E38</f>
        <v>473.68542943934227</v>
      </c>
      <c r="D13" s="7">
        <f>'[1]Realisasi Hilirisasi'!F38</f>
        <v>8160720605</v>
      </c>
      <c r="E13" s="5">
        <f>'[1]Realisasi Hilirisasi'!H38</f>
        <v>1158238345.0596323</v>
      </c>
      <c r="F13" s="9">
        <f>IFERROR((InputData[[#This Row],[GROSS PROFIT]]/InputData[[#This Row],[REVENUE]])*100%,0)</f>
        <v>0.14192844003873753</v>
      </c>
      <c r="G13" s="3" t="str">
        <f>VLOOKUP(InputData[[#This Row],[PRODUCT ID]],Master[],2,0)</f>
        <v>Steel Structure</v>
      </c>
      <c r="H13" s="3" t="str">
        <f>VLOOKUP(InputData[[#This Row],[PRODUCT ID]],Master[],3,0)</f>
        <v>KBK</v>
      </c>
      <c r="I13" s="3" t="str">
        <f>TEXT(InputData[[#This Row],[MONTH]],"MMMMMM")</f>
        <v>February</v>
      </c>
      <c r="J13" s="3">
        <f>YEAR(InputData[[#This Row],[MONTH]])</f>
        <v>2023</v>
      </c>
      <c r="K13" s="14" t="str">
        <f>"SMT-"&amp;CHOOSE(MONTH(InputData[[#This Row],[MONTH]]),1,1,1,1,1,1,2,2,2,2,2,2)</f>
        <v>SMT-1</v>
      </c>
      <c r="L13" s="48">
        <v>0</v>
      </c>
    </row>
    <row r="14" spans="1:12">
      <c r="A14" s="4">
        <v>44958</v>
      </c>
      <c r="B14" s="3" t="s">
        <v>11</v>
      </c>
      <c r="C14" s="8">
        <f>'[1]Realisasi Hilirisasi'!E39</f>
        <v>0.35603239999999997</v>
      </c>
      <c r="D14" s="7">
        <f>'[1]Realisasi Hilirisasi'!F39</f>
        <v>17801620</v>
      </c>
      <c r="E14" s="5">
        <f>'[1]Realisasi Hilirisasi'!H39</f>
        <v>6230567</v>
      </c>
      <c r="F14" s="9">
        <f>IFERROR((InputData[[#This Row],[GROSS PROFIT]]/InputData[[#This Row],[REVENUE]])*100%,0)</f>
        <v>0.35</v>
      </c>
      <c r="G14" s="3" t="str">
        <f>VLOOKUP(InputData[[#This Row],[PRODUCT ID]],Master[],2,0)</f>
        <v>Steel Creative &amp; Component</v>
      </c>
      <c r="H14" s="3" t="str">
        <f>VLOOKUP(InputData[[#This Row],[PRODUCT ID]],Master[],3,0)</f>
        <v>KBK</v>
      </c>
      <c r="I14" s="3" t="str">
        <f>TEXT(InputData[[#This Row],[MONTH]],"MMMMMM")</f>
        <v>February</v>
      </c>
      <c r="J14" s="3">
        <f>YEAR(InputData[[#This Row],[MONTH]])</f>
        <v>2023</v>
      </c>
      <c r="K14" s="14" t="str">
        <f>"SMT-"&amp;CHOOSE(MONTH(InputData[[#This Row],[MONTH]]),1,1,1,1,1,1,2,2,2,2,2,2)</f>
        <v>SMT-1</v>
      </c>
      <c r="L14" s="48">
        <v>0</v>
      </c>
    </row>
    <row r="15" spans="1:12">
      <c r="A15" s="4">
        <v>44958</v>
      </c>
      <c r="B15" s="3" t="s">
        <v>22</v>
      </c>
      <c r="C15" s="8">
        <f>'[1]Realisasi Hilirisasi'!E40</f>
        <v>20.250528782608697</v>
      </c>
      <c r="D15" s="7">
        <f>'[1]Realisasi Hilirisasi'!F40</f>
        <v>495462162</v>
      </c>
      <c r="E15" s="5">
        <f>'[1]Realisasi Hilirisasi'!H40</f>
        <v>74319324.299999997</v>
      </c>
      <c r="F15" s="9">
        <f>IFERROR((InputData[[#This Row],[GROSS PROFIT]]/InputData[[#This Row],[REVENUE]])*100%,0)</f>
        <v>0.15</v>
      </c>
      <c r="G15" s="3" t="str">
        <f>VLOOKUP(InputData[[#This Row],[PRODUCT ID]],Master[],2,0)</f>
        <v>Modular</v>
      </c>
      <c r="H15" s="3" t="str">
        <f>VLOOKUP(InputData[[#This Row],[PRODUCT ID]],Master[],3,0)</f>
        <v>KBK</v>
      </c>
      <c r="I15" s="3" t="str">
        <f>TEXT(InputData[[#This Row],[MONTH]],"MMMMMM")</f>
        <v>February</v>
      </c>
      <c r="J15" s="3">
        <f>YEAR(InputData[[#This Row],[MONTH]])</f>
        <v>2023</v>
      </c>
      <c r="K15" s="14" t="str">
        <f>"SMT-"&amp;CHOOSE(MONTH(InputData[[#This Row],[MONTH]]),1,1,1,1,1,1,2,2,2,2,2,2)</f>
        <v>SMT-1</v>
      </c>
      <c r="L15" s="48">
        <v>0</v>
      </c>
    </row>
    <row r="16" spans="1:12">
      <c r="A16" s="4">
        <v>44958</v>
      </c>
      <c r="B16" s="3" t="s">
        <v>14</v>
      </c>
      <c r="C16" s="8">
        <f>'[1]Realisasi Hilirisasi'!E44</f>
        <v>89.4</v>
      </c>
      <c r="D16" s="7">
        <f>'[1]Realisasi Hilirisasi'!F44</f>
        <v>1665000000</v>
      </c>
      <c r="E16" s="5">
        <f>'[1]Realisasi Hilirisasi'!H44</f>
        <v>65214000</v>
      </c>
      <c r="F16" s="9">
        <f>IFERROR((InputData[[#This Row],[GROSS PROFIT]]/InputData[[#This Row],[REVENUE]])*100%,0)</f>
        <v>3.916756756756757E-2</v>
      </c>
      <c r="G16" s="3" t="str">
        <f>VLOOKUP(InputData[[#This Row],[PRODUCT ID]],Master[],2,0)</f>
        <v>Fiber Optic Pole</v>
      </c>
      <c r="H16" s="3" t="str">
        <f>VLOOKUP(InputData[[#This Row],[PRODUCT ID]],Master[],3,0)</f>
        <v>KPI</v>
      </c>
      <c r="I16" s="3" t="str">
        <f>TEXT(InputData[[#This Row],[MONTH]],"MMMMMM")</f>
        <v>February</v>
      </c>
      <c r="J16" s="3">
        <f>YEAR(InputData[[#This Row],[MONTH]])</f>
        <v>2023</v>
      </c>
      <c r="K16" s="14" t="str">
        <f>"SMT-"&amp;CHOOSE(MONTH(InputData[[#This Row],[MONTH]]),1,1,1,1,1,1,2,2,2,2,2,2)</f>
        <v>SMT-1</v>
      </c>
      <c r="L16" s="20">
        <f>'[1]Per AP#2'!$E$6</f>
        <v>500</v>
      </c>
    </row>
    <row r="17" spans="1:12">
      <c r="A17" s="4">
        <v>44958</v>
      </c>
      <c r="B17" s="3" t="s">
        <v>18</v>
      </c>
      <c r="C17" s="8">
        <f>'[1]Realisasi Hilirisasi'!E50</f>
        <v>45.718604844101492</v>
      </c>
      <c r="D17" s="7">
        <f>'[1]Realisasi Hilirisasi'!F50</f>
        <v>504507263</v>
      </c>
      <c r="E17" s="5">
        <f>'[1]Realisasi Hilirisasi'!H50</f>
        <v>300392742.34504503</v>
      </c>
      <c r="F17" s="9">
        <f>IFERROR((InputData[[#This Row],[GROSS PROFIT]]/InputData[[#This Row],[REVENUE]])*100%,0)</f>
        <v>0.59541807299024951</v>
      </c>
      <c r="G17" s="3" t="str">
        <f>VLOOKUP(InputData[[#This Row],[PRODUCT ID]],Master[],2,0)</f>
        <v>Galvanized &amp; Galvalume</v>
      </c>
      <c r="H17" s="3" t="str">
        <f>VLOOKUP(InputData[[#This Row],[PRODUCT ID]],Master[],3,0)</f>
        <v>KNI</v>
      </c>
      <c r="I17" s="3" t="str">
        <f>TEXT(InputData[[#This Row],[MONTH]],"MMMMMM")</f>
        <v>February</v>
      </c>
      <c r="J17" s="3">
        <f>YEAR(InputData[[#This Row],[MONTH]])</f>
        <v>2023</v>
      </c>
      <c r="K17" s="14" t="str">
        <f>"SMT-"&amp;CHOOSE(MONTH(InputData[[#This Row],[MONTH]]),1,1,1,1,1,1,2,2,2,2,2,2)</f>
        <v>SMT-1</v>
      </c>
      <c r="L17" s="20">
        <f>'[1]Per AP#2'!$E$7</f>
        <v>543</v>
      </c>
    </row>
    <row r="18" spans="1:12">
      <c r="A18" s="4">
        <v>44958</v>
      </c>
      <c r="B18" s="3" t="s">
        <v>19</v>
      </c>
      <c r="C18" s="8">
        <f>'[1]Realisasi Hilirisasi'!E51</f>
        <v>383.3135951558985</v>
      </c>
      <c r="D18" s="7">
        <f>'[1]Realisasi Hilirisasi'!F51</f>
        <v>7153083569</v>
      </c>
      <c r="E18" s="5">
        <f>'[1]Realisasi Hilirisasi'!H51</f>
        <v>105741395</v>
      </c>
      <c r="F18" s="9">
        <f>IFERROR((InputData[[#This Row],[GROSS PROFIT]]/InputData[[#This Row],[REVENUE]])*100%,0)</f>
        <v>1.478263101220592E-2</v>
      </c>
      <c r="G18" s="3" t="str">
        <f>VLOOKUP(InputData[[#This Row],[PRODUCT ID]],Master[],2,0)</f>
        <v>Baja Ringan</v>
      </c>
      <c r="H18" s="3" t="str">
        <f>VLOOKUP(InputData[[#This Row],[PRODUCT ID]],Master[],3,0)</f>
        <v>KNI</v>
      </c>
      <c r="I18" s="3" t="str">
        <f>TEXT(InputData[[#This Row],[MONTH]],"MMMMMM")</f>
        <v>February</v>
      </c>
      <c r="J18" s="3">
        <f>YEAR(InputData[[#This Row],[MONTH]])</f>
        <v>2023</v>
      </c>
      <c r="K18" s="14" t="str">
        <f>"SMT-"&amp;CHOOSE(MONTH(InputData[[#This Row],[MONTH]]),1,1,1,1,1,1,2,2,2,2,2,2)</f>
        <v>SMT-1</v>
      </c>
      <c r="L18" s="48">
        <v>0</v>
      </c>
    </row>
    <row r="19" spans="1:12">
      <c r="A19" s="4">
        <v>44958</v>
      </c>
      <c r="B19" s="3" t="s">
        <v>20</v>
      </c>
      <c r="C19" s="8">
        <f>'[1]Realisasi Hilirisasi'!E52</f>
        <v>288.96780000000001</v>
      </c>
      <c r="D19" s="7">
        <f>'[1]Realisasi Hilirisasi'!F52</f>
        <v>4634409168</v>
      </c>
      <c r="E19" s="5">
        <f>'[1]Realisasi Hilirisasi'!H52</f>
        <v>68930130</v>
      </c>
      <c r="F19" s="9">
        <f>IFERROR((InputData[[#This Row],[GROSS PROFIT]]/InputData[[#This Row],[REVENUE]])*100%,0)</f>
        <v>1.4873552917155803E-2</v>
      </c>
      <c r="G19" s="3" t="str">
        <f>VLOOKUP(InputData[[#This Row],[PRODUCT ID]],Master[],2,0)</f>
        <v>CNP</v>
      </c>
      <c r="H19" s="3" t="str">
        <f>VLOOKUP(InputData[[#This Row],[PRODUCT ID]],Master[],3,0)</f>
        <v>KNI</v>
      </c>
      <c r="I19" s="3" t="str">
        <f>TEXT(InputData[[#This Row],[MONTH]],"MMMMMM")</f>
        <v>February</v>
      </c>
      <c r="J19" s="3">
        <f>YEAR(InputData[[#This Row],[MONTH]])</f>
        <v>2023</v>
      </c>
      <c r="K19" s="14" t="str">
        <f>"SMT-"&amp;CHOOSE(MONTH(InputData[[#This Row],[MONTH]]),1,1,1,1,1,1,2,2,2,2,2,2)</f>
        <v>SMT-1</v>
      </c>
      <c r="L19" s="48">
        <v>0</v>
      </c>
    </row>
    <row r="20" spans="1:12">
      <c r="A20" s="4">
        <v>44958</v>
      </c>
      <c r="B20" s="3" t="s">
        <v>21</v>
      </c>
      <c r="C20" s="8">
        <f>'[1]Realisasi Hilirisasi'!E59</f>
        <v>85.714285714285708</v>
      </c>
      <c r="D20" s="7">
        <f>'[1]Realisasi Hilirisasi'!F59</f>
        <v>1500000000</v>
      </c>
      <c r="E20" s="5">
        <f>'[1]Realisasi Hilirisasi'!H59</f>
        <v>120000000</v>
      </c>
      <c r="F20" s="9">
        <f>IFERROR((InputData[[#This Row],[GROSS PROFIT]]/InputData[[#This Row],[REVENUE]])*100%,0)</f>
        <v>0.08</v>
      </c>
      <c r="G20" s="3" t="str">
        <f>VLOOKUP(InputData[[#This Row],[PRODUCT ID]],Master[],2,0)</f>
        <v>Welded Beam</v>
      </c>
      <c r="H20" s="3" t="str">
        <f>VLOOKUP(InputData[[#This Row],[PRODUCT ID]],Master[],3,0)</f>
        <v>KPdP</v>
      </c>
      <c r="I20" s="3" t="str">
        <f>TEXT(InputData[[#This Row],[MONTH]],"MMMMMM")</f>
        <v>February</v>
      </c>
      <c r="J20" s="3">
        <f>YEAR(InputData[[#This Row],[MONTH]])</f>
        <v>2023</v>
      </c>
      <c r="K20" s="14" t="str">
        <f>"SMT-"&amp;CHOOSE(MONTH(InputData[[#This Row],[MONTH]]),1,1,1,1,1,1,2,2,2,2,2,2)</f>
        <v>SMT-1</v>
      </c>
      <c r="L20" s="20">
        <f>'[1]Per AP#2'!$E$8</f>
        <v>157.58000000000001</v>
      </c>
    </row>
    <row r="21" spans="1:12">
      <c r="A21" s="4">
        <v>44986</v>
      </c>
      <c r="B21" s="3" t="s">
        <v>4</v>
      </c>
      <c r="C21" s="8">
        <f>'[1]Realisasi Hilirisasi'!E64</f>
        <v>90.48375999999999</v>
      </c>
      <c r="D21" s="7">
        <f>'[1]Realisasi Hilirisasi'!F64</f>
        <v>2114967684</v>
      </c>
      <c r="E21" s="5">
        <f>'[1]Realisasi Hilirisasi'!H64</f>
        <v>158622576.29999998</v>
      </c>
      <c r="F21" s="9">
        <f>IFERROR((InputData[[#This Row],[GROSS PROFIT]]/InputData[[#This Row],[REVENUE]])*100%,0)</f>
        <v>7.4999999999999997E-2</v>
      </c>
      <c r="G21" s="3" t="str">
        <f>VLOOKUP(InputData[[#This Row],[PRODUCT ID]],Master[],2,0)</f>
        <v>Tower</v>
      </c>
      <c r="H21" s="3" t="str">
        <f>VLOOKUP(InputData[[#This Row],[PRODUCT ID]],Master[],3,0)</f>
        <v>KBK</v>
      </c>
      <c r="I21" s="3" t="str">
        <f>TEXT(InputData[[#This Row],[MONTH]],"MMMMMM")</f>
        <v>March</v>
      </c>
      <c r="J21" s="3">
        <f>YEAR(InputData[[#This Row],[MONTH]])</f>
        <v>2023</v>
      </c>
      <c r="K21" s="14" t="str">
        <f>"SMT-"&amp;CHOOSE(MONTH(InputData[[#This Row],[MONTH]]),1,1,1,1,1,1,2,2,2,2,2,2)</f>
        <v>SMT-1</v>
      </c>
      <c r="L21" s="20">
        <f>'[1]Per AP#2'!$F$5</f>
        <v>320.42000000000007</v>
      </c>
    </row>
    <row r="22" spans="1:12">
      <c r="A22" s="4">
        <v>44986</v>
      </c>
      <c r="B22" s="3" t="s">
        <v>9</v>
      </c>
      <c r="C22" s="8">
        <f>'[1]Realisasi Hilirisasi'!E65+'[1]Realisasi Hilirisasi'!$E$68</f>
        <v>368.22535024899059</v>
      </c>
      <c r="D22" s="7">
        <f>'[1]Realisasi Hilirisasi'!F65+'[1]Realisasi Hilirisasi'!$F$68</f>
        <v>8793990269.2099991</v>
      </c>
      <c r="E22" s="5">
        <f>'[1]Realisasi Hilirisasi'!H65+'[1]Realisasi Hilirisasi'!$H$68</f>
        <v>659549270.19074988</v>
      </c>
      <c r="F22" s="9">
        <f>IFERROR((InputData[[#This Row],[GROSS PROFIT]]/InputData[[#This Row],[REVENUE]])*100%,0)</f>
        <v>7.4999999999999997E-2</v>
      </c>
      <c r="G22" s="3" t="str">
        <f>VLOOKUP(InputData[[#This Row],[PRODUCT ID]],Master[],2,0)</f>
        <v>Steel Structure</v>
      </c>
      <c r="H22" s="3" t="str">
        <f>VLOOKUP(InputData[[#This Row],[PRODUCT ID]],Master[],3,0)</f>
        <v>KBK</v>
      </c>
      <c r="I22" s="3" t="str">
        <f>TEXT(InputData[[#This Row],[MONTH]],"MMMMMM")</f>
        <v>March</v>
      </c>
      <c r="J22" s="3">
        <f>YEAR(InputData[[#This Row],[MONTH]])</f>
        <v>2023</v>
      </c>
      <c r="K22" s="14" t="str">
        <f>"SMT-"&amp;CHOOSE(MONTH(InputData[[#This Row],[MONTH]]),1,1,1,1,1,1,2,2,2,2,2,2)</f>
        <v>SMT-1</v>
      </c>
      <c r="L22" s="48">
        <v>0</v>
      </c>
    </row>
    <row r="23" spans="1:12">
      <c r="A23" s="4">
        <v>44986</v>
      </c>
      <c r="B23" s="3" t="s">
        <v>11</v>
      </c>
      <c r="C23" s="8">
        <f>'[1]Realisasi Hilirisasi'!E66</f>
        <v>56.078480000000006</v>
      </c>
      <c r="D23" s="7">
        <f>'[1]Realisasi Hilirisasi'!F66</f>
        <v>986072520.74000001</v>
      </c>
      <c r="E23" s="5">
        <f>'[1]Realisasi Hilirisasi'!H66</f>
        <v>74760957.074000001</v>
      </c>
      <c r="F23" s="9">
        <f>IFERROR((InputData[[#This Row],[GROSS PROFIT]]/InputData[[#This Row],[REVENUE]])*100%,0)</f>
        <v>7.5816895311001567E-2</v>
      </c>
      <c r="G23" s="3" t="str">
        <f>VLOOKUP(InputData[[#This Row],[PRODUCT ID]],Master[],2,0)</f>
        <v>Steel Creative &amp; Component</v>
      </c>
      <c r="H23" s="3" t="str">
        <f>VLOOKUP(InputData[[#This Row],[PRODUCT ID]],Master[],3,0)</f>
        <v>KBK</v>
      </c>
      <c r="I23" s="3" t="str">
        <f>TEXT(InputData[[#This Row],[MONTH]],"MMMMMM")</f>
        <v>March</v>
      </c>
      <c r="J23" s="3">
        <f>YEAR(InputData[[#This Row],[MONTH]])</f>
        <v>2023</v>
      </c>
      <c r="K23" s="14" t="str">
        <f>"SMT-"&amp;CHOOSE(MONTH(InputData[[#This Row],[MONTH]]),1,1,1,1,1,1,2,2,2,2,2,2)</f>
        <v>SMT-1</v>
      </c>
      <c r="L23" s="48">
        <v>0</v>
      </c>
    </row>
    <row r="24" spans="1:12">
      <c r="A24" s="4">
        <v>44986</v>
      </c>
      <c r="B24" s="3" t="s">
        <v>12</v>
      </c>
      <c r="C24" s="8">
        <f>'[1]Realisasi Hilirisasi'!E71</f>
        <v>231.136</v>
      </c>
      <c r="D24" s="7">
        <f>'[1]Realisasi Hilirisasi'!F71</f>
        <v>3783488000</v>
      </c>
      <c r="E24" s="5">
        <f>'[1]Realisasi Hilirisasi'!H71</f>
        <v>80435328</v>
      </c>
      <c r="F24" s="9">
        <f>IFERROR((InputData[[#This Row],[GROSS PROFIT]]/InputData[[#This Row],[REVENUE]])*100%,0)</f>
        <v>2.1259570005243839E-2</v>
      </c>
      <c r="G24" s="3" t="str">
        <f>VLOOKUP(InputData[[#This Row],[PRODUCT ID]],Master[],2,0)</f>
        <v>Electric Pole</v>
      </c>
      <c r="H24" s="3" t="str">
        <f>VLOOKUP(InputData[[#This Row],[PRODUCT ID]],Master[],3,0)</f>
        <v>KPI</v>
      </c>
      <c r="I24" s="3" t="str">
        <f>TEXT(InputData[[#This Row],[MONTH]],"MMMMMM")</f>
        <v>March</v>
      </c>
      <c r="J24" s="3">
        <f>YEAR(InputData[[#This Row],[MONTH]])</f>
        <v>2023</v>
      </c>
      <c r="K24" s="14" t="str">
        <f>"SMT-"&amp;CHOOSE(MONTH(InputData[[#This Row],[MONTH]]),1,1,1,1,1,1,2,2,2,2,2,2)</f>
        <v>SMT-1</v>
      </c>
      <c r="L24" s="20">
        <f>'[1]Per AP#2'!$F$6</f>
        <v>500</v>
      </c>
    </row>
    <row r="25" spans="1:12">
      <c r="A25" s="4">
        <v>44986</v>
      </c>
      <c r="B25" s="3" t="s">
        <v>14</v>
      </c>
      <c r="C25" s="8">
        <f>'[1]Realisasi Hilirisasi'!E72</f>
        <v>19.25</v>
      </c>
      <c r="D25" s="7">
        <f>'[1]Realisasi Hilirisasi'!F72</f>
        <v>362500000</v>
      </c>
      <c r="E25" s="5">
        <f>'[1]Realisasi Hilirisasi'!H72</f>
        <v>14822500</v>
      </c>
      <c r="F25" s="9">
        <f>IFERROR((InputData[[#This Row],[GROSS PROFIT]]/InputData[[#This Row],[REVENUE]])*100%,0)</f>
        <v>4.0889655172413795E-2</v>
      </c>
      <c r="G25" s="3" t="str">
        <f>VLOOKUP(InputData[[#This Row],[PRODUCT ID]],Master[],2,0)</f>
        <v>Fiber Optic Pole</v>
      </c>
      <c r="H25" s="3" t="str">
        <f>VLOOKUP(InputData[[#This Row],[PRODUCT ID]],Master[],3,0)</f>
        <v>KPI</v>
      </c>
      <c r="I25" s="3" t="str">
        <f>TEXT(InputData[[#This Row],[MONTH]],"MMMMMM")</f>
        <v>March</v>
      </c>
      <c r="J25" s="3">
        <f>YEAR(InputData[[#This Row],[MONTH]])</f>
        <v>2023</v>
      </c>
      <c r="K25" s="14" t="str">
        <f>"SMT-"&amp;CHOOSE(MONTH(InputData[[#This Row],[MONTH]]),1,1,1,1,1,1,2,2,2,2,2,2)</f>
        <v>SMT-1</v>
      </c>
      <c r="L25" s="48">
        <v>0</v>
      </c>
    </row>
    <row r="26" spans="1:12">
      <c r="A26" s="4">
        <v>44986</v>
      </c>
      <c r="B26" s="3" t="s">
        <v>18</v>
      </c>
      <c r="C26" s="8">
        <f>'[1]Realisasi Hilirisasi'!E78</f>
        <v>0</v>
      </c>
      <c r="D26" s="7">
        <f>'[1]Realisasi Hilirisasi'!F78</f>
        <v>0</v>
      </c>
      <c r="E26" s="5">
        <f>'[1]Realisasi Hilirisasi'!H78</f>
        <v>300392742.34504503</v>
      </c>
      <c r="F26" s="9">
        <f>IFERROR((InputData[[#This Row],[GROSS PROFIT]]/InputData[[#This Row],[REVENUE]])*100%,0)</f>
        <v>0</v>
      </c>
      <c r="G26" s="3" t="str">
        <f>VLOOKUP(InputData[[#This Row],[PRODUCT ID]],Master[],2,0)</f>
        <v>Galvanized &amp; Galvalume</v>
      </c>
      <c r="H26" s="3" t="str">
        <f>VLOOKUP(InputData[[#This Row],[PRODUCT ID]],Master[],3,0)</f>
        <v>KNI</v>
      </c>
      <c r="I26" s="3" t="str">
        <f>TEXT(InputData[[#This Row],[MONTH]],"MMMMMM")</f>
        <v>March</v>
      </c>
      <c r="J26" s="3">
        <f>YEAR(InputData[[#This Row],[MONTH]])</f>
        <v>2023</v>
      </c>
      <c r="K26" s="14" t="str">
        <f>"SMT-"&amp;CHOOSE(MONTH(InputData[[#This Row],[MONTH]]),1,1,1,1,1,1,2,2,2,2,2,2)</f>
        <v>SMT-1</v>
      </c>
      <c r="L26" s="48">
        <f>'[1]Per AP#2'!$F$7</f>
        <v>522</v>
      </c>
    </row>
    <row r="27" spans="1:12">
      <c r="A27" s="4">
        <v>44986</v>
      </c>
      <c r="B27" s="3" t="s">
        <v>19</v>
      </c>
      <c r="C27" s="8">
        <f>'[1]Realisasi Hilirisasi'!E79</f>
        <v>254.09420537405782</v>
      </c>
      <c r="D27" s="7">
        <f>'[1]Realisasi Hilirisasi'!F79</f>
        <v>4929139510</v>
      </c>
      <c r="E27" s="5">
        <f>'[1]Realisasi Hilirisasi'!H79</f>
        <v>74923817</v>
      </c>
      <c r="F27" s="9">
        <f>IFERROR((InputData[[#This Row],[GROSS PROFIT]]/InputData[[#This Row],[REVENUE]])*100%,0)</f>
        <v>1.5200181867037478E-2</v>
      </c>
      <c r="G27" s="3" t="str">
        <f>VLOOKUP(InputData[[#This Row],[PRODUCT ID]],Master[],2,0)</f>
        <v>Baja Ringan</v>
      </c>
      <c r="H27" s="3" t="str">
        <f>VLOOKUP(InputData[[#This Row],[PRODUCT ID]],Master[],3,0)</f>
        <v>KNI</v>
      </c>
      <c r="I27" s="3" t="str">
        <f>TEXT(InputData[[#This Row],[MONTH]],"MMMMMM")</f>
        <v>March</v>
      </c>
      <c r="J27" s="3">
        <f>YEAR(InputData[[#This Row],[MONTH]])</f>
        <v>2023</v>
      </c>
      <c r="K27" s="14" t="str">
        <f>"SMT-"&amp;CHOOSE(MONTH(InputData[[#This Row],[MONTH]]),1,1,1,1,1,1,2,2,2,2,2,2)</f>
        <v>SMT-1</v>
      </c>
      <c r="L27" s="48">
        <v>0</v>
      </c>
    </row>
    <row r="28" spans="1:12">
      <c r="A28" s="4">
        <v>44986</v>
      </c>
      <c r="B28" s="3" t="s">
        <v>20</v>
      </c>
      <c r="C28" s="8">
        <f>'[1]Realisasi Hilirisasi'!E80</f>
        <v>0</v>
      </c>
      <c r="D28" s="7">
        <f>'[1]Realisasi Hilirisasi'!F80</f>
        <v>0</v>
      </c>
      <c r="E28" s="5">
        <f>'[1]Realisasi Hilirisasi'!H80</f>
        <v>68930130</v>
      </c>
      <c r="F28" s="9">
        <f>IFERROR((InputData[[#This Row],[GROSS PROFIT]]/InputData[[#This Row],[REVENUE]])*100%,0)</f>
        <v>0</v>
      </c>
      <c r="G28" s="3" t="str">
        <f>VLOOKUP(InputData[[#This Row],[PRODUCT ID]],Master[],2,0)</f>
        <v>CNP</v>
      </c>
      <c r="H28" s="3" t="str">
        <f>VLOOKUP(InputData[[#This Row],[PRODUCT ID]],Master[],3,0)</f>
        <v>KNI</v>
      </c>
      <c r="I28" s="3" t="str">
        <f>TEXT(InputData[[#This Row],[MONTH]],"MMMMMM")</f>
        <v>March</v>
      </c>
      <c r="J28" s="3">
        <f>YEAR(InputData[[#This Row],[MONTH]])</f>
        <v>2023</v>
      </c>
      <c r="K28" s="14" t="str">
        <f>"SMT-"&amp;CHOOSE(MONTH(InputData[[#This Row],[MONTH]]),1,1,1,1,1,1,2,2,2,2,2,2)</f>
        <v>SMT-1</v>
      </c>
      <c r="L28" s="48">
        <v>0</v>
      </c>
    </row>
    <row r="29" spans="1:12">
      <c r="A29" s="4">
        <v>44986</v>
      </c>
      <c r="B29" s="3" t="s">
        <v>23</v>
      </c>
      <c r="C29" s="8">
        <f>'[1]Realisasi Hilirisasi'!E82</f>
        <v>545.25179462594224</v>
      </c>
      <c r="D29" s="7">
        <f>'[1]Realisasi Hilirisasi'!F82</f>
        <v>13035441011</v>
      </c>
      <c r="E29" s="5">
        <f>'[1]Realisasi Hilirisasi'!H82</f>
        <v>195531615.16499999</v>
      </c>
      <c r="F29" s="9">
        <f>IFERROR((InputData[[#This Row],[GROSS PROFIT]]/InputData[[#This Row],[REVENUE]])*100%,0)</f>
        <v>1.4999999999999999E-2</v>
      </c>
      <c r="G29" s="3" t="str">
        <f>VLOOKUP(InputData[[#This Row],[PRODUCT ID]],Master[],2,0)</f>
        <v>Other Product</v>
      </c>
      <c r="H29" s="3" t="str">
        <f>VLOOKUP(InputData[[#This Row],[PRODUCT ID]],Master[],3,0)</f>
        <v>KNI</v>
      </c>
      <c r="I29" s="3" t="str">
        <f>TEXT(InputData[[#This Row],[MONTH]],"MMMMMM")</f>
        <v>March</v>
      </c>
      <c r="J29" s="3">
        <f>YEAR(InputData[[#This Row],[MONTH]])</f>
        <v>2023</v>
      </c>
      <c r="K29" s="14" t="str">
        <f>"SMT-"&amp;CHOOSE(MONTH(InputData[[#This Row],[MONTH]]),1,1,1,1,1,1,2,2,2,2,2,2)</f>
        <v>SMT-1</v>
      </c>
      <c r="L29" s="48">
        <v>0</v>
      </c>
    </row>
    <row r="30" spans="1:12">
      <c r="A30" s="4">
        <v>44986</v>
      </c>
      <c r="B30" s="3" t="s">
        <v>21</v>
      </c>
      <c r="C30" s="8">
        <f>'[1]Realisasi Hilirisasi'!E87</f>
        <v>85.714285714285708</v>
      </c>
      <c r="D30" s="7">
        <f>'[1]Realisasi Hilirisasi'!F87</f>
        <v>1500000000</v>
      </c>
      <c r="E30" s="5">
        <f>'[1]Realisasi Hilirisasi'!H87</f>
        <v>120000000</v>
      </c>
      <c r="F30" s="9">
        <f>IFERROR((InputData[[#This Row],[GROSS PROFIT]]/InputData[[#This Row],[REVENUE]])*100%,0)</f>
        <v>0.08</v>
      </c>
      <c r="G30" s="3" t="str">
        <f>VLOOKUP(InputData[[#This Row],[PRODUCT ID]],Master[],2,0)</f>
        <v>Welded Beam</v>
      </c>
      <c r="H30" s="3" t="str">
        <f>VLOOKUP(InputData[[#This Row],[PRODUCT ID]],Master[],3,0)</f>
        <v>KPdP</v>
      </c>
      <c r="I30" s="3" t="str">
        <f>TEXT(InputData[[#This Row],[MONTH]],"MMMMMM")</f>
        <v>March</v>
      </c>
      <c r="J30" s="3">
        <f>YEAR(InputData[[#This Row],[MONTH]])</f>
        <v>2023</v>
      </c>
      <c r="K30" s="14" t="str">
        <f>"SMT-"&amp;CHOOSE(MONTH(InputData[[#This Row],[MONTH]]),1,1,1,1,1,1,2,2,2,2,2,2)</f>
        <v>SMT-1</v>
      </c>
      <c r="L30" s="48">
        <f>'[1]Per AP#2'!$F$8</f>
        <v>157.58000000000001</v>
      </c>
    </row>
    <row r="31" spans="1:12">
      <c r="A31" s="4">
        <v>45017</v>
      </c>
      <c r="B31" s="3" t="s">
        <v>4</v>
      </c>
      <c r="C31" s="8">
        <f>'[1]Realisasi Hilirisasi'!E92</f>
        <v>6.58927</v>
      </c>
      <c r="D31" s="6">
        <f>'[1]Realisasi Hilirisasi'!F92</f>
        <v>164495893</v>
      </c>
      <c r="E31" s="6">
        <f>'[1]Realisasi Hilirisasi'!H92</f>
        <v>9883905</v>
      </c>
      <c r="F31" s="9">
        <f>IFERROR((InputData[[#This Row],[GROSS PROFIT]]/InputData[[#This Row],[REVENUE]])*100%,0)</f>
        <v>6.0086029017149989E-2</v>
      </c>
      <c r="G31" s="3" t="str">
        <f>VLOOKUP(InputData[[#This Row],[PRODUCT ID]],Master[],2,0)</f>
        <v>Tower</v>
      </c>
      <c r="H31" s="3" t="str">
        <f>VLOOKUP(InputData[[#This Row],[PRODUCT ID]],Master[],3,0)</f>
        <v>KBK</v>
      </c>
      <c r="I31" s="3" t="str">
        <f>TEXT(InputData[[#This Row],[MONTH]],"MMMMMM")</f>
        <v>April</v>
      </c>
      <c r="J31" s="3">
        <f>YEAR(InputData[[#This Row],[MONTH]])</f>
        <v>2023</v>
      </c>
      <c r="K31" s="14" t="str">
        <f>"SMT-"&amp;CHOOSE(MONTH(InputData[[#This Row],[MONTH]]),1,1,1,1,1,1,2,2,2,2,2,2)</f>
        <v>SMT-1</v>
      </c>
      <c r="L31" s="48">
        <f>'[1]Per AP#2'!$G$5</f>
        <v>445.42000000000007</v>
      </c>
    </row>
    <row r="32" spans="1:12">
      <c r="A32" s="4">
        <v>45017</v>
      </c>
      <c r="B32" s="3" t="s">
        <v>9</v>
      </c>
      <c r="C32" s="8">
        <f>'[1]Realisasi Hilirisasi'!E93</f>
        <v>138.46724137931034</v>
      </c>
      <c r="D32" s="7">
        <f>'[1]Realisasi Hilirisasi'!F93</f>
        <v>4015550000</v>
      </c>
      <c r="E32" s="5">
        <f>'[1]Realisasi Hilirisasi'!H93</f>
        <v>200777500</v>
      </c>
      <c r="F32" s="9">
        <f>IFERROR((InputData[[#This Row],[GROSS PROFIT]]/InputData[[#This Row],[REVENUE]])*100%,0)</f>
        <v>0.05</v>
      </c>
      <c r="G32" s="3" t="str">
        <f>VLOOKUP(InputData[[#This Row],[PRODUCT ID]],Master[],2,0)</f>
        <v>Steel Structure</v>
      </c>
      <c r="H32" s="3" t="str">
        <f>VLOOKUP(InputData[[#This Row],[PRODUCT ID]],Master[],3,0)</f>
        <v>KBK</v>
      </c>
      <c r="I32" s="3" t="str">
        <f>TEXT(InputData[[#This Row],[MONTH]],"MMMMMM")</f>
        <v>April</v>
      </c>
      <c r="J32" s="3">
        <f>YEAR(InputData[[#This Row],[MONTH]])</f>
        <v>2023</v>
      </c>
      <c r="K32" s="14" t="str">
        <f>"SMT-"&amp;CHOOSE(MONTH(InputData[[#This Row],[MONTH]]),1,1,1,1,1,1,2,2,2,2,2,2)</f>
        <v>SMT-1</v>
      </c>
      <c r="L32" s="48">
        <v>0</v>
      </c>
    </row>
    <row r="33" spans="1:12">
      <c r="A33" s="4">
        <v>45017</v>
      </c>
      <c r="B33" s="3" t="s">
        <v>11</v>
      </c>
      <c r="C33" s="8">
        <f>'[1]Realisasi Hilirisasi'!E94</f>
        <v>0.49306499999999998</v>
      </c>
      <c r="D33" s="7">
        <f>'[1]Realisasi Hilirisasi'!F94</f>
        <v>12326625</v>
      </c>
      <c r="E33" s="5">
        <f>'[1]Realisasi Hilirisasi'!H94</f>
        <v>654768.75</v>
      </c>
      <c r="F33" s="9">
        <f>IFERROR((InputData[[#This Row],[GROSS PROFIT]]/InputData[[#This Row],[REVENUE]])*100%,0)</f>
        <v>5.3118250129293297E-2</v>
      </c>
      <c r="G33" s="3" t="str">
        <f>VLOOKUP(InputData[[#This Row],[PRODUCT ID]],Master[],2,0)</f>
        <v>Steel Creative &amp; Component</v>
      </c>
      <c r="H33" s="3" t="str">
        <f>VLOOKUP(InputData[[#This Row],[PRODUCT ID]],Master[],3,0)</f>
        <v>KBK</v>
      </c>
      <c r="I33" s="3" t="str">
        <f>TEXT(InputData[[#This Row],[MONTH]],"MMMMMM")</f>
        <v>April</v>
      </c>
      <c r="J33" s="3">
        <f>YEAR(InputData[[#This Row],[MONTH]])</f>
        <v>2023</v>
      </c>
      <c r="K33" s="14" t="str">
        <f>"SMT-"&amp;CHOOSE(MONTH(InputData[[#This Row],[MONTH]]),1,1,1,1,1,1,2,2,2,2,2,2)</f>
        <v>SMT-1</v>
      </c>
      <c r="L33" s="48">
        <v>0</v>
      </c>
    </row>
    <row r="34" spans="1:12">
      <c r="A34" s="4">
        <v>45017</v>
      </c>
      <c r="B34" s="3" t="s">
        <v>14</v>
      </c>
      <c r="C34" s="8">
        <f>'[1]Realisasi Hilirisasi'!E100</f>
        <v>77.099999999999994</v>
      </c>
      <c r="D34" s="7">
        <f>'[1]Realisasi Hilirisasi'!F100</f>
        <v>1410000000</v>
      </c>
      <c r="E34" s="5">
        <f>'[1]Realisasi Hilirisasi'!H100</f>
        <v>58071000</v>
      </c>
      <c r="F34" s="9">
        <f>IFERROR((InputData[[#This Row],[GROSS PROFIT]]/InputData[[#This Row],[REVENUE]])*100%,0)</f>
        <v>4.1185106382978724E-2</v>
      </c>
      <c r="G34" s="3" t="str">
        <f>VLOOKUP(InputData[[#This Row],[PRODUCT ID]],Master[],2,0)</f>
        <v>Fiber Optic Pole</v>
      </c>
      <c r="H34" s="3" t="str">
        <f>VLOOKUP(InputData[[#This Row],[PRODUCT ID]],Master[],3,0)</f>
        <v>KPI</v>
      </c>
      <c r="I34" s="3" t="str">
        <f>TEXT(InputData[[#This Row],[MONTH]],"MMMMMM")</f>
        <v>April</v>
      </c>
      <c r="J34" s="3">
        <f>YEAR(InputData[[#This Row],[MONTH]])</f>
        <v>2023</v>
      </c>
      <c r="K34" s="14" t="str">
        <f>"SMT-"&amp;CHOOSE(MONTH(InputData[[#This Row],[MONTH]]),1,1,1,1,1,1,2,2,2,2,2,2)</f>
        <v>SMT-1</v>
      </c>
      <c r="L34" s="48">
        <f>'[1]Per AP#2'!$G$6</f>
        <v>500</v>
      </c>
    </row>
    <row r="35" spans="1:12">
      <c r="A35" s="4">
        <v>45017</v>
      </c>
      <c r="B35" s="3" t="s">
        <v>19</v>
      </c>
      <c r="C35" s="8">
        <f>'[1]Realisasi Hilirisasi'!E107</f>
        <v>329</v>
      </c>
      <c r="D35" s="7">
        <f>'[1]Realisasi Hilirisasi'!F107</f>
        <v>6304000000</v>
      </c>
      <c r="E35" s="5">
        <f>'[1]Realisasi Hilirisasi'!H107</f>
        <v>95821946.489804268</v>
      </c>
      <c r="F35" s="9">
        <f>IFERROR((InputData[[#This Row],[GROSS PROFIT]]/InputData[[#This Row],[REVENUE]])*100%,0)</f>
        <v>1.5200181867037478E-2</v>
      </c>
      <c r="G35" s="3" t="str">
        <f>VLOOKUP(InputData[[#This Row],[PRODUCT ID]],Master[],2,0)</f>
        <v>Baja Ringan</v>
      </c>
      <c r="H35" s="3" t="str">
        <f>VLOOKUP(InputData[[#This Row],[PRODUCT ID]],Master[],3,0)</f>
        <v>KNI</v>
      </c>
      <c r="I35" s="3" t="str">
        <f>TEXT(InputData[[#This Row],[MONTH]],"MMMMMM")</f>
        <v>April</v>
      </c>
      <c r="J35" s="3">
        <f>YEAR(InputData[[#This Row],[MONTH]])</f>
        <v>2023</v>
      </c>
      <c r="K35" s="14" t="str">
        <f>"SMT-"&amp;CHOOSE(MONTH(InputData[[#This Row],[MONTH]]),1,1,1,1,1,1,2,2,2,2,2,2)</f>
        <v>SMT-1</v>
      </c>
      <c r="L35" s="48">
        <f>'[1]Per AP#2'!$G$7</f>
        <v>397</v>
      </c>
    </row>
    <row r="36" spans="1:12">
      <c r="A36" s="4">
        <v>45017</v>
      </c>
      <c r="B36" s="3" t="s">
        <v>23</v>
      </c>
      <c r="C36" s="8">
        <f>'[1]Realisasi Hilirisasi'!E110</f>
        <v>114</v>
      </c>
      <c r="D36" s="7">
        <f>'[1]Realisasi Hilirisasi'!F110</f>
        <v>1686000000</v>
      </c>
      <c r="E36" s="5">
        <f>'[1]Realisasi Hilirisasi'!H110</f>
        <v>25290000</v>
      </c>
      <c r="F36" s="9">
        <f>IFERROR((InputData[[#This Row],[GROSS PROFIT]]/InputData[[#This Row],[REVENUE]])*100%,0)</f>
        <v>1.4999999999999999E-2</v>
      </c>
      <c r="G36" s="3" t="str">
        <f>VLOOKUP(InputData[[#This Row],[PRODUCT ID]],Master[],2,0)</f>
        <v>Other Product</v>
      </c>
      <c r="H36" s="3" t="str">
        <f>VLOOKUP(InputData[[#This Row],[PRODUCT ID]],Master[],3,0)</f>
        <v>KNI</v>
      </c>
      <c r="I36" s="3" t="str">
        <f>TEXT(InputData[[#This Row],[MONTH]],"MMMMMM")</f>
        <v>April</v>
      </c>
      <c r="J36" s="3">
        <f>YEAR(InputData[[#This Row],[MONTH]])</f>
        <v>2023</v>
      </c>
      <c r="K36" s="14" t="str">
        <f>"SMT-"&amp;CHOOSE(MONTH(InputData[[#This Row],[MONTH]]),1,1,1,1,1,1,2,2,2,2,2,2)</f>
        <v>SMT-1</v>
      </c>
      <c r="L36" s="48">
        <v>0</v>
      </c>
    </row>
    <row r="37" spans="1:12">
      <c r="A37" s="4">
        <v>45017</v>
      </c>
      <c r="B37" s="3" t="s">
        <v>21</v>
      </c>
      <c r="C37" s="8">
        <f>'[1]Realisasi Hilirisasi'!E115</f>
        <v>85.714285714285708</v>
      </c>
      <c r="D37" s="7">
        <f>'[1]Realisasi Hilirisasi'!F115</f>
        <v>1500000000</v>
      </c>
      <c r="E37" s="5">
        <f>'[1]Realisasi Hilirisasi'!H115</f>
        <v>75000000</v>
      </c>
      <c r="F37" s="9">
        <f>IFERROR((InputData[[#This Row],[GROSS PROFIT]]/InputData[[#This Row],[REVENUE]])*100%,0)</f>
        <v>0.05</v>
      </c>
      <c r="G37" s="3" t="str">
        <f>VLOOKUP(InputData[[#This Row],[PRODUCT ID]],Master[],2,0)</f>
        <v>Welded Beam</v>
      </c>
      <c r="H37" s="3" t="str">
        <f>VLOOKUP(InputData[[#This Row],[PRODUCT ID]],Master[],3,0)</f>
        <v>KPdP</v>
      </c>
      <c r="I37" s="3" t="str">
        <f>TEXT(InputData[[#This Row],[MONTH]],"MMMMMM")</f>
        <v>April</v>
      </c>
      <c r="J37" s="3">
        <f>YEAR(InputData[[#This Row],[MONTH]])</f>
        <v>2023</v>
      </c>
      <c r="K37" s="14" t="str">
        <f>"SMT-"&amp;CHOOSE(MONTH(InputData[[#This Row],[MONTH]]),1,1,1,1,1,1,2,2,2,2,2,2)</f>
        <v>SMT-1</v>
      </c>
      <c r="L37" s="48">
        <f>'[1]Per AP#2'!$G$8</f>
        <v>157.58000000000001</v>
      </c>
    </row>
    <row r="38" spans="1:12">
      <c r="A38" s="4">
        <v>45047</v>
      </c>
      <c r="B38" s="3" t="s">
        <v>4</v>
      </c>
      <c r="C38" s="8">
        <f>'[1]Realisasi Hilirisasi'!E120</f>
        <v>2.9956646938775502</v>
      </c>
      <c r="D38" s="7">
        <f>'[1]Realisasi Hilirisasi'!F120</f>
        <v>73253735</v>
      </c>
      <c r="E38" s="5">
        <f>'[1]Realisasi Hilirisasi'!H120</f>
        <v>7325373.5</v>
      </c>
      <c r="F38" s="9">
        <f>IFERROR((InputData[[#This Row],[GROSS PROFIT]]/InputData[[#This Row],[REVENUE]])*100%,0)</f>
        <v>0.1</v>
      </c>
      <c r="G38" s="3" t="str">
        <f>VLOOKUP(InputData[[#This Row],[PRODUCT ID]],Master[],2,0)</f>
        <v>Tower</v>
      </c>
      <c r="H38" s="3" t="str">
        <f>VLOOKUP(InputData[[#This Row],[PRODUCT ID]],Master[],3,0)</f>
        <v>KBK</v>
      </c>
      <c r="I38" s="3" t="str">
        <f>TEXT(InputData[[#This Row],[MONTH]],"MMMMMM")</f>
        <v>May</v>
      </c>
      <c r="J38" s="3">
        <f>YEAR(InputData[[#This Row],[MONTH]])</f>
        <v>2023</v>
      </c>
      <c r="K38" s="14" t="str">
        <f>"SMT-"&amp;CHOOSE(MONTH(InputData[[#This Row],[MONTH]]),1,1,1,1,1,1,2,2,2,2,2,2)</f>
        <v>SMT-1</v>
      </c>
      <c r="L38" s="48">
        <f>'[1]Per AP#2'!$H$5</f>
        <v>635.92000000000007</v>
      </c>
    </row>
    <row r="39" spans="1:12">
      <c r="A39" s="4">
        <v>45047</v>
      </c>
      <c r="B39" s="3" t="s">
        <v>9</v>
      </c>
      <c r="C39" s="8">
        <f>'[1]Realisasi Hilirisasi'!E121</f>
        <v>23.424546216610178</v>
      </c>
      <c r="D39" s="7">
        <f>'[1]Realisasi Hilirisasi'!F121</f>
        <v>183688471.69000006</v>
      </c>
      <c r="E39" s="5">
        <f>'[1]Realisasi Hilirisasi'!H121</f>
        <v>14695077.735199988</v>
      </c>
      <c r="F39" s="9">
        <f>IFERROR((InputData[[#This Row],[GROSS PROFIT]]/InputData[[#This Row],[REVENUE]])*100%,0)</f>
        <v>7.9999999999999905E-2</v>
      </c>
      <c r="G39" s="3" t="str">
        <f>VLOOKUP(InputData[[#This Row],[PRODUCT ID]],Master[],2,0)</f>
        <v>Steel Structure</v>
      </c>
      <c r="H39" s="3" t="str">
        <f>VLOOKUP(InputData[[#This Row],[PRODUCT ID]],Master[],3,0)</f>
        <v>KBK</v>
      </c>
      <c r="I39" s="3" t="str">
        <f>TEXT(InputData[[#This Row],[MONTH]],"MMMMMM")</f>
        <v>May</v>
      </c>
      <c r="J39" s="3">
        <f>YEAR(InputData[[#This Row],[MONTH]])</f>
        <v>2023</v>
      </c>
      <c r="K39" s="14" t="str">
        <f>"SMT-"&amp;CHOOSE(MONTH(InputData[[#This Row],[MONTH]]),1,1,1,1,1,1,2,2,2,2,2,2)</f>
        <v>SMT-1</v>
      </c>
      <c r="L39" s="48">
        <v>0</v>
      </c>
    </row>
    <row r="40" spans="1:12">
      <c r="A40" s="4">
        <v>45047</v>
      </c>
      <c r="B40" s="3" t="s">
        <v>11</v>
      </c>
      <c r="C40" s="8">
        <f>'[1]Realisasi Hilirisasi'!E122</f>
        <v>12.976618675510204</v>
      </c>
      <c r="D40" s="7">
        <f>'[1]Realisasi Hilirisasi'!F122</f>
        <v>212714642.73999977</v>
      </c>
      <c r="E40" s="5">
        <f>'[1]Realisasi Hilirisasi'!H122</f>
        <v>21271464.274000019</v>
      </c>
      <c r="F40" s="9">
        <f>IFERROR((InputData[[#This Row],[GROSS PROFIT]]/InputData[[#This Row],[REVENUE]])*100%,0)</f>
        <v>0.1000000000000002</v>
      </c>
      <c r="G40" s="3" t="str">
        <f>VLOOKUP(InputData[[#This Row],[PRODUCT ID]],Master[],2,0)</f>
        <v>Steel Creative &amp; Component</v>
      </c>
      <c r="H40" s="3" t="str">
        <f>VLOOKUP(InputData[[#This Row],[PRODUCT ID]],Master[],3,0)</f>
        <v>KBK</v>
      </c>
      <c r="I40" s="3" t="str">
        <f>TEXT(InputData[[#This Row],[MONTH]],"MMMMMM")</f>
        <v>May</v>
      </c>
      <c r="J40" s="3">
        <f>YEAR(InputData[[#This Row],[MONTH]])</f>
        <v>2023</v>
      </c>
      <c r="K40" s="14" t="str">
        <f>"SMT-"&amp;CHOOSE(MONTH(InputData[[#This Row],[MONTH]]),1,1,1,1,1,1,2,2,2,2,2,2)</f>
        <v>SMT-1</v>
      </c>
      <c r="L40" s="48">
        <v>0</v>
      </c>
    </row>
    <row r="41" spans="1:12">
      <c r="A41" s="4">
        <v>45047</v>
      </c>
      <c r="B41" s="3" t="s">
        <v>24</v>
      </c>
      <c r="C41" s="8">
        <f>'[1]Realisasi Hilirisasi'!E124</f>
        <v>1727.6680000000001</v>
      </c>
      <c r="D41" s="7">
        <f>'[1]Realisasi Hilirisasi'!F124</f>
        <v>15071008000</v>
      </c>
      <c r="E41" s="5">
        <f>'[1]Realisasi Hilirisasi'!H124</f>
        <v>1507100800</v>
      </c>
      <c r="F41" s="9">
        <f>IFERROR((InputData[[#This Row],[GROSS PROFIT]]/InputData[[#This Row],[REVENUE]])*100%,0)</f>
        <v>0.1</v>
      </c>
      <c r="G41" s="3" t="str">
        <f>VLOOKUP(InputData[[#This Row],[PRODUCT ID]],Master[],2,0)</f>
        <v>Cut to Lenght</v>
      </c>
      <c r="H41" s="3" t="str">
        <f>VLOOKUP(InputData[[#This Row],[PRODUCT ID]],Master[],3,0)</f>
        <v>KBK</v>
      </c>
      <c r="I41" s="3" t="str">
        <f>TEXT(InputData[[#This Row],[MONTH]],"MMMMMM")</f>
        <v>May</v>
      </c>
      <c r="J41" s="3">
        <f>YEAR(InputData[[#This Row],[MONTH]])</f>
        <v>2023</v>
      </c>
      <c r="K41" s="14" t="str">
        <f>"SMT-"&amp;CHOOSE(MONTH(InputData[[#This Row],[MONTH]]),1,1,1,1,1,1,2,2,2,2,2,2)</f>
        <v>SMT-1</v>
      </c>
      <c r="L41" s="48">
        <v>0</v>
      </c>
    </row>
    <row r="42" spans="1:12">
      <c r="A42" s="4">
        <v>45047</v>
      </c>
      <c r="B42" s="3" t="s">
        <v>12</v>
      </c>
      <c r="C42" s="8">
        <f>'[1]Realisasi Hilirisasi'!E127</f>
        <v>64.593456953642402</v>
      </c>
      <c r="D42" s="7">
        <f>'[1]Realisasi Hilirisasi'!F127</f>
        <v>24836423.841058731</v>
      </c>
      <c r="E42" s="5">
        <f>'[1]Realisasi Hilirisasi'!H127</f>
        <v>1871260.9271523356</v>
      </c>
      <c r="F42" s="9">
        <f>IFERROR((InputData[[#This Row],[GROSS PROFIT]]/InputData[[#This Row],[REVENUE]])*100%,0)</f>
        <v>7.5343412527001205E-2</v>
      </c>
      <c r="G42" s="3" t="str">
        <f>VLOOKUP(InputData[[#This Row],[PRODUCT ID]],Master[],2,0)</f>
        <v>Electric Pole</v>
      </c>
      <c r="H42" s="3" t="str">
        <f>VLOOKUP(InputData[[#This Row],[PRODUCT ID]],Master[],3,0)</f>
        <v>KPI</v>
      </c>
      <c r="I42" s="3" t="str">
        <f>TEXT(InputData[[#This Row],[MONTH]],"MMMMMM")</f>
        <v>May</v>
      </c>
      <c r="J42" s="3">
        <f>YEAR(InputData[[#This Row],[MONTH]])</f>
        <v>2023</v>
      </c>
      <c r="K42" s="14" t="str">
        <f>"SMT-"&amp;CHOOSE(MONTH(InputData[[#This Row],[MONTH]]),1,1,1,1,1,1,2,2,2,2,2,2)</f>
        <v>SMT-1</v>
      </c>
      <c r="L42" s="48">
        <f>'[1]Per AP#2'!$H$6</f>
        <v>500</v>
      </c>
    </row>
    <row r="43" spans="1:12">
      <c r="A43" s="4">
        <v>45047</v>
      </c>
      <c r="B43" s="3" t="s">
        <v>14</v>
      </c>
      <c r="C43" s="8">
        <f>'[1]Realisasi Hilirisasi'!E128</f>
        <v>2.3100000000000023</v>
      </c>
      <c r="D43" s="7">
        <f>'[1]Realisasi Hilirisasi'!F128</f>
        <v>43500000</v>
      </c>
      <c r="E43" s="5">
        <f>'[1]Realisasi Hilirisasi'!H128</f>
        <v>1778700</v>
      </c>
      <c r="F43" s="9">
        <f>IFERROR((InputData[[#This Row],[GROSS PROFIT]]/InputData[[#This Row],[REVENUE]])*100%,0)</f>
        <v>4.0889655172413795E-2</v>
      </c>
      <c r="G43" s="3" t="str">
        <f>VLOOKUP(InputData[[#This Row],[PRODUCT ID]],Master[],2,0)</f>
        <v>Fiber Optic Pole</v>
      </c>
      <c r="H43" s="3" t="str">
        <f>VLOOKUP(InputData[[#This Row],[PRODUCT ID]],Master[],3,0)</f>
        <v>KPI</v>
      </c>
      <c r="I43" s="3" t="str">
        <f>TEXT(InputData[[#This Row],[MONTH]],"MMMMMM")</f>
        <v>May</v>
      </c>
      <c r="J43" s="3">
        <f>YEAR(InputData[[#This Row],[MONTH]])</f>
        <v>2023</v>
      </c>
      <c r="K43" s="14" t="str">
        <f>"SMT-"&amp;CHOOSE(MONTH(InputData[[#This Row],[MONTH]]),1,1,1,1,1,1,2,2,2,2,2,2)</f>
        <v>SMT-1</v>
      </c>
      <c r="L43" s="48">
        <v>0</v>
      </c>
    </row>
    <row r="44" spans="1:12">
      <c r="A44" s="4">
        <v>45047</v>
      </c>
      <c r="B44" s="3" t="s">
        <v>17</v>
      </c>
      <c r="C44" s="8">
        <f>'[1]Realisasi Hilirisasi'!E130</f>
        <v>31.924757403973508</v>
      </c>
      <c r="D44" s="7">
        <f>'[1]Realisasi Hilirisasi'!F130</f>
        <v>3318618935.0993376</v>
      </c>
      <c r="E44" s="5">
        <f>'[1]Realisasi Hilirisasi'!H130</f>
        <v>97520946.754966885</v>
      </c>
      <c r="F44" s="9">
        <f>IFERROR((InputData[[#This Row],[GROSS PROFIT]]/InputData[[#This Row],[REVENUE]])*100%,0)</f>
        <v>2.9386003232711545E-2</v>
      </c>
      <c r="G44" s="3" t="str">
        <f>VLOOKUP(InputData[[#This Row],[PRODUCT ID]],Master[],2,0)</f>
        <v>Bends Pipe</v>
      </c>
      <c r="H44" s="3" t="str">
        <f>VLOOKUP(InputData[[#This Row],[PRODUCT ID]],Master[],3,0)</f>
        <v>KPI</v>
      </c>
      <c r="I44" s="3" t="str">
        <f>TEXT(InputData[[#This Row],[MONTH]],"MMMMMM")</f>
        <v>May</v>
      </c>
      <c r="J44" s="3">
        <f>YEAR(InputData[[#This Row],[MONTH]])</f>
        <v>2023</v>
      </c>
      <c r="K44" s="14" t="str">
        <f>"SMT-"&amp;CHOOSE(MONTH(InputData[[#This Row],[MONTH]]),1,1,1,1,1,1,2,2,2,2,2,2)</f>
        <v>SMT-1</v>
      </c>
      <c r="L44" s="48">
        <v>0</v>
      </c>
    </row>
    <row r="45" spans="1:12">
      <c r="A45" s="4">
        <v>45047</v>
      </c>
      <c r="B45" s="3" t="s">
        <v>19</v>
      </c>
      <c r="C45" s="8">
        <f>'[1]Realisasi Hilirisasi'!E135</f>
        <v>170.64246600311526</v>
      </c>
      <c r="D45" s="7">
        <f>'[1]Realisasi Hilirisasi'!F135+'[1]Realisasi Hilirisasi'!$F$136+'[1]Realisasi Hilirisasi'!$F$137</f>
        <v>4381970986</v>
      </c>
      <c r="E45" s="5">
        <f>'[1]Realisasi Hilirisasi'!H135+'[1]Realisasi Hilirisasi'!$H$136+'[1]Realisasi Hilirisasi'!$H$137</f>
        <v>12574370.380195744</v>
      </c>
      <c r="F45" s="9">
        <f>IFERROR((InputData[[#This Row],[GROSS PROFIT]]/InputData[[#This Row],[REVENUE]])*100%,0)</f>
        <v>2.8695695202843007E-3</v>
      </c>
      <c r="G45" s="3" t="str">
        <f>VLOOKUP(InputData[[#This Row],[PRODUCT ID]],Master[],2,0)</f>
        <v>Baja Ringan</v>
      </c>
      <c r="H45" s="3" t="str">
        <f>VLOOKUP(InputData[[#This Row],[PRODUCT ID]],Master[],3,0)</f>
        <v>KNI</v>
      </c>
      <c r="I45" s="3" t="str">
        <f>TEXT(InputData[[#This Row],[MONTH]],"MMMMMM")</f>
        <v>May</v>
      </c>
      <c r="J45" s="3">
        <f>YEAR(InputData[[#This Row],[MONTH]])</f>
        <v>2023</v>
      </c>
      <c r="K45" s="14" t="str">
        <f>"SMT-"&amp;CHOOSE(MONTH(InputData[[#This Row],[MONTH]]),1,1,1,1,1,1,2,2,2,2,2,2)</f>
        <v>SMT-1</v>
      </c>
      <c r="L45" s="48">
        <f>'[1]Per AP#2'!$H$7</f>
        <v>456.5</v>
      </c>
    </row>
    <row r="46" spans="1:12">
      <c r="A46" s="4">
        <v>45047</v>
      </c>
      <c r="B46" s="3" t="s">
        <v>23</v>
      </c>
      <c r="C46" s="8">
        <v>120.5</v>
      </c>
      <c r="D46" s="7">
        <f>'[1]Realisasi Hilirisasi'!$F$138</f>
        <v>610948553.29999924</v>
      </c>
      <c r="E46" s="21">
        <f>'[1]Realisasi Hilirisasi'!$H$138</f>
        <v>-475416778.69004548</v>
      </c>
      <c r="F46" s="9">
        <f>IFERROR((InputData[[#This Row],[GROSS PROFIT]]/InputData[[#This Row],[REVENUE]])*100%,0)</f>
        <v>-0.77816172265588057</v>
      </c>
      <c r="G46" s="3" t="str">
        <f>VLOOKUP(InputData[[#This Row],[PRODUCT ID]],Master[],2,0)</f>
        <v>Other Product</v>
      </c>
      <c r="H46" s="3" t="str">
        <f>VLOOKUP(InputData[[#This Row],[PRODUCT ID]],Master[],3,0)</f>
        <v>KNI</v>
      </c>
      <c r="I46" s="3" t="str">
        <f>TEXT(InputData[[#This Row],[MONTH]],"MMMMMM")</f>
        <v>May</v>
      </c>
      <c r="J46" s="3">
        <f>YEAR(InputData[[#This Row],[MONTH]])</f>
        <v>2023</v>
      </c>
      <c r="K46" s="14" t="str">
        <f>"SMT-"&amp;CHOOSE(MONTH(InputData[[#This Row],[MONTH]]),1,1,1,1,1,1,2,2,2,2,2,2)</f>
        <v>SMT-1</v>
      </c>
      <c r="L46" s="48">
        <v>0</v>
      </c>
    </row>
    <row r="47" spans="1:12">
      <c r="A47" s="4">
        <v>45047</v>
      </c>
      <c r="B47" s="3" t="s">
        <v>21</v>
      </c>
      <c r="C47" s="8">
        <f>'[1]Realisasi Hilirisasi'!E143</f>
        <v>85.714285714285708</v>
      </c>
      <c r="D47" s="7">
        <f>'[1]Realisasi Hilirisasi'!F143</f>
        <v>1500000000</v>
      </c>
      <c r="E47" s="5">
        <f>'[1]Realisasi Hilirisasi'!$H$143</f>
        <v>75000000</v>
      </c>
      <c r="F47" s="9">
        <f>IFERROR((InputData[[#This Row],[GROSS PROFIT]]/InputData[[#This Row],[REVENUE]])*100%,0)</f>
        <v>0.05</v>
      </c>
      <c r="G47" s="3" t="str">
        <f>VLOOKUP(InputData[[#This Row],[PRODUCT ID]],Master[],2,0)</f>
        <v>Welded Beam</v>
      </c>
      <c r="H47" s="3" t="str">
        <f>VLOOKUP(InputData[[#This Row],[PRODUCT ID]],Master[],3,0)</f>
        <v>KPdP</v>
      </c>
      <c r="I47" s="3" t="str">
        <f>TEXT(InputData[[#This Row],[MONTH]],"MMMMMM")</f>
        <v>May</v>
      </c>
      <c r="J47" s="3">
        <f>YEAR(InputData[[#This Row],[MONTH]])</f>
        <v>2023</v>
      </c>
      <c r="K47" s="14" t="str">
        <f>"SMT-"&amp;CHOOSE(MONTH(InputData[[#This Row],[MONTH]]),1,1,1,1,1,1,2,2,2,2,2,2)</f>
        <v>SMT-1</v>
      </c>
      <c r="L47" s="48">
        <f>'[1]Per AP#2'!$H$8</f>
        <v>157.58000000000001</v>
      </c>
    </row>
    <row r="48" spans="1:12">
      <c r="A48" s="4">
        <v>45078</v>
      </c>
      <c r="B48" s="3" t="s">
        <v>4</v>
      </c>
      <c r="C48" s="8">
        <f>'[1]Realisasi Hilirisasi'!E148</f>
        <v>0.20398666666666668</v>
      </c>
      <c r="D48" s="7">
        <f>'[1]Realisasi Hilirisasi'!F148</f>
        <v>4589700</v>
      </c>
      <c r="E48" s="5">
        <f>'[1]Realisasi Hilirisasi'!H148</f>
        <v>367180</v>
      </c>
      <c r="F48" s="9">
        <f>IFERROR((InputData[[#This Row],[GROSS PROFIT]]/InputData[[#This Row],[REVENUE]])*100%,0)</f>
        <v>8.0000871516656857E-2</v>
      </c>
      <c r="G48" s="3" t="str">
        <f>VLOOKUP(InputData[[#This Row],[PRODUCT ID]],Master[],2,0)</f>
        <v>Tower</v>
      </c>
      <c r="H48" s="3" t="str">
        <f>VLOOKUP(InputData[[#This Row],[PRODUCT ID]],Master[],3,0)</f>
        <v>KBK</v>
      </c>
      <c r="I48" s="3" t="str">
        <f>TEXT(InputData[[#This Row],[MONTH]],"MMMMMM")</f>
        <v>June</v>
      </c>
      <c r="J48" s="3">
        <f>YEAR(InputData[[#This Row],[MONTH]])</f>
        <v>2023</v>
      </c>
      <c r="K48" s="14" t="str">
        <f>"SMT-"&amp;CHOOSE(MONTH(InputData[[#This Row],[MONTH]]),1,1,1,1,1,1,2,2,2,2,2,2)</f>
        <v>SMT-1</v>
      </c>
      <c r="L48" s="48">
        <f>'[1]Per AP#2'!$I$5</f>
        <v>878.92000000000007</v>
      </c>
    </row>
    <row r="49" spans="1:12">
      <c r="A49" s="4">
        <v>45078</v>
      </c>
      <c r="B49" s="3" t="s">
        <v>9</v>
      </c>
      <c r="C49" s="8">
        <f>'[1]Realisasi Hilirisasi'!E149</f>
        <v>117.944675</v>
      </c>
      <c r="D49" s="7">
        <f>'[1]Realisasi Hilirisasi'!F149</f>
        <v>2358893500</v>
      </c>
      <c r="E49" s="5">
        <f>'[1]Realisasi Hilirisasi'!H149</f>
        <v>117944675</v>
      </c>
      <c r="F49" s="9">
        <f>IFERROR((InputData[[#This Row],[GROSS PROFIT]]/InputData[[#This Row],[REVENUE]])*100%,0)</f>
        <v>0.05</v>
      </c>
      <c r="G49" s="3" t="str">
        <f>VLOOKUP(InputData[[#This Row],[PRODUCT ID]],Master[],2,0)</f>
        <v>Steel Structure</v>
      </c>
      <c r="H49" s="3" t="str">
        <f>VLOOKUP(InputData[[#This Row],[PRODUCT ID]],Master[],3,0)</f>
        <v>KBK</v>
      </c>
      <c r="I49" s="3" t="str">
        <f>TEXT(InputData[[#This Row],[MONTH]],"MMMMMM")</f>
        <v>June</v>
      </c>
      <c r="J49" s="3">
        <f>YEAR(InputData[[#This Row],[MONTH]])</f>
        <v>2023</v>
      </c>
      <c r="K49" s="14" t="str">
        <f>"SMT-"&amp;CHOOSE(MONTH(InputData[[#This Row],[MONTH]]),1,1,1,1,1,1,2,2,2,2,2,2)</f>
        <v>SMT-1</v>
      </c>
      <c r="L49" s="48">
        <v>0</v>
      </c>
    </row>
    <row r="50" spans="1:12">
      <c r="A50" s="4">
        <v>45078</v>
      </c>
      <c r="B50" s="3" t="s">
        <v>11</v>
      </c>
      <c r="C50" s="8">
        <f>'[1]Realisasi Hilirisasi'!E150</f>
        <v>306.36093087722224</v>
      </c>
      <c r="D50" s="7">
        <f>'[1]Realisasi Hilirisasi'!F150</f>
        <v>2558279977.1900001</v>
      </c>
      <c r="E50" s="5">
        <f>'[1]Realisasi Hilirisasi'!H150</f>
        <v>319815125.4000001</v>
      </c>
      <c r="F50" s="9">
        <f>IFERROR((InputData[[#This Row],[GROSS PROFIT]]/InputData[[#This Row],[REVENUE]])*100%,0)</f>
        <v>0.12501177676076064</v>
      </c>
      <c r="G50" s="3" t="str">
        <f>VLOOKUP(InputData[[#This Row],[PRODUCT ID]],Master[],2,0)</f>
        <v>Steel Creative &amp; Component</v>
      </c>
      <c r="H50" s="3" t="str">
        <f>VLOOKUP(InputData[[#This Row],[PRODUCT ID]],Master[],3,0)</f>
        <v>KBK</v>
      </c>
      <c r="I50" s="3" t="str">
        <f>TEXT(InputData[[#This Row],[MONTH]],"MMMMMM")</f>
        <v>June</v>
      </c>
      <c r="J50" s="3">
        <f>YEAR(InputData[[#This Row],[MONTH]])</f>
        <v>2023</v>
      </c>
      <c r="K50" s="14" t="str">
        <f>"SMT-"&amp;CHOOSE(MONTH(InputData[[#This Row],[MONTH]]),1,1,1,1,1,1,2,2,2,2,2,2)</f>
        <v>SMT-1</v>
      </c>
      <c r="L50" s="48">
        <v>0</v>
      </c>
    </row>
    <row r="51" spans="1:12">
      <c r="A51" s="4">
        <v>45078</v>
      </c>
      <c r="B51" s="3" t="s">
        <v>22</v>
      </c>
      <c r="C51" s="8">
        <f>'[1]Realisasi Hilirisasi'!E151</f>
        <v>6.302160024</v>
      </c>
      <c r="D51" s="7">
        <f>'[1]Realisasi Hilirisasi'!F151</f>
        <v>126043200.48</v>
      </c>
      <c r="E51" s="5">
        <f>'[1]Realisasi Hilirisasi'!H151</f>
        <v>5424000</v>
      </c>
      <c r="F51" s="9">
        <f>IFERROR((InputData[[#This Row],[GROSS PROFIT]]/InputData[[#This Row],[REVENUE]])*100%,0)</f>
        <v>4.3032864758624223E-2</v>
      </c>
      <c r="G51" s="3" t="str">
        <f>VLOOKUP(InputData[[#This Row],[PRODUCT ID]],Master[],2,0)</f>
        <v>Modular</v>
      </c>
      <c r="H51" s="3" t="str">
        <f>VLOOKUP(InputData[[#This Row],[PRODUCT ID]],Master[],3,0)</f>
        <v>KBK</v>
      </c>
      <c r="I51" s="3" t="str">
        <f>TEXT(InputData[[#This Row],[MONTH]],"MMMMMM")</f>
        <v>June</v>
      </c>
      <c r="J51" s="3">
        <f>YEAR(InputData[[#This Row],[MONTH]])</f>
        <v>2023</v>
      </c>
      <c r="K51" s="14" t="str">
        <f>"SMT-"&amp;CHOOSE(MONTH(InputData[[#This Row],[MONTH]]),1,1,1,1,1,1,2,2,2,2,2,2)</f>
        <v>SMT-1</v>
      </c>
      <c r="L51" s="48">
        <v>0</v>
      </c>
    </row>
    <row r="52" spans="1:12">
      <c r="A52" s="4">
        <v>45078</v>
      </c>
      <c r="B52" s="3" t="s">
        <v>12</v>
      </c>
      <c r="C52" s="8">
        <f>'[1]Realisasi Hilirisasi'!E155</f>
        <v>34.950000000000003</v>
      </c>
      <c r="D52" s="7">
        <f>'[1]Realisasi Hilirisasi'!F155</f>
        <v>543192900</v>
      </c>
      <c r="E52" s="7">
        <f>'[1]Realisasi Hilirisasi'!$H$155</f>
        <v>10030650</v>
      </c>
      <c r="F52" s="9">
        <f>IFERROR((InputData[[#This Row],[GROSS PROFIT]]/InputData[[#This Row],[REVENUE]])*100%,0)</f>
        <v>1.8466091880066916E-2</v>
      </c>
      <c r="G52" s="3" t="str">
        <f>VLOOKUP(InputData[[#This Row],[PRODUCT ID]],Master[],2,0)</f>
        <v>Electric Pole</v>
      </c>
      <c r="H52" s="3" t="str">
        <f>VLOOKUP(InputData[[#This Row],[PRODUCT ID]],Master[],3,0)</f>
        <v>KPI</v>
      </c>
      <c r="I52" s="3" t="str">
        <f>TEXT(InputData[[#This Row],[MONTH]],"MMMMMM")</f>
        <v>June</v>
      </c>
      <c r="J52" s="3">
        <f>YEAR(InputData[[#This Row],[MONTH]])</f>
        <v>2023</v>
      </c>
      <c r="K52" s="14" t="str">
        <f>"SMT-"&amp;CHOOSE(MONTH(InputData[[#This Row],[MONTH]]),1,1,1,1,1,1,2,2,2,2,2,2)</f>
        <v>SMT-1</v>
      </c>
      <c r="L52" s="48">
        <f>'[1]Per AP#2'!$I$6</f>
        <v>500</v>
      </c>
    </row>
    <row r="53" spans="1:12">
      <c r="A53" s="4">
        <v>45078</v>
      </c>
      <c r="B53" s="3" t="s">
        <v>14</v>
      </c>
      <c r="C53" s="8">
        <f>'[1]Realisasi Hilirisasi'!E156</f>
        <v>253</v>
      </c>
      <c r="D53" s="7">
        <f>'[1]Realisasi Hilirisasi'!F156</f>
        <v>4221750000</v>
      </c>
      <c r="E53" s="7">
        <f>'[1]Realisasi Hilirisasi'!$H$156</f>
        <v>450939940</v>
      </c>
      <c r="F53" s="9">
        <f>IFERROR((InputData[[#This Row],[GROSS PROFIT]]/InputData[[#This Row],[REVENUE]])*100%,0)</f>
        <v>0.10681351098478119</v>
      </c>
      <c r="G53" s="3" t="str">
        <f>VLOOKUP(InputData[[#This Row],[PRODUCT ID]],Master[],2,0)</f>
        <v>Fiber Optic Pole</v>
      </c>
      <c r="H53" s="3" t="str">
        <f>VLOOKUP(InputData[[#This Row],[PRODUCT ID]],Master[],3,0)</f>
        <v>KPI</v>
      </c>
      <c r="I53" s="3" t="str">
        <f>TEXT(InputData[[#This Row],[MONTH]],"MMMMMM")</f>
        <v>June</v>
      </c>
      <c r="J53" s="3">
        <f>YEAR(InputData[[#This Row],[MONTH]])</f>
        <v>2023</v>
      </c>
      <c r="K53" s="14" t="str">
        <f>"SMT-"&amp;CHOOSE(MONTH(InputData[[#This Row],[MONTH]]),1,1,1,1,1,1,2,2,2,2,2,2)</f>
        <v>SMT-1</v>
      </c>
      <c r="L53" s="48">
        <v>0</v>
      </c>
    </row>
    <row r="54" spans="1:12">
      <c r="A54" s="4">
        <v>45078</v>
      </c>
      <c r="B54" s="3" t="s">
        <v>19</v>
      </c>
      <c r="C54" s="8">
        <f>'[1]Realisasi Hilirisasi'!$E$163</f>
        <v>323</v>
      </c>
      <c r="D54" s="7">
        <f>'[1]Realisasi Hilirisasi'!$F$163</f>
        <v>5838000000</v>
      </c>
      <c r="E54" s="5">
        <f>'[1]Realisasi Hilirisasi'!$H$163</f>
        <v>87570000</v>
      </c>
      <c r="F54" s="9">
        <f>IFERROR((InputData[[#This Row],[GROSS PROFIT]]/InputData[[#This Row],[REVENUE]])*100%,0)</f>
        <v>1.4999999999999999E-2</v>
      </c>
      <c r="G54" s="3" t="str">
        <f>VLOOKUP(InputData[[#This Row],[PRODUCT ID]],Master[],2,0)</f>
        <v>Baja Ringan</v>
      </c>
      <c r="H54" s="3" t="str">
        <f>VLOOKUP(InputData[[#This Row],[PRODUCT ID]],Master[],3,0)</f>
        <v>KNI</v>
      </c>
      <c r="I54" s="3" t="str">
        <f>TEXT(InputData[[#This Row],[MONTH]],"MMMMMM")</f>
        <v>June</v>
      </c>
      <c r="J54" s="3">
        <f>YEAR(InputData[[#This Row],[MONTH]])</f>
        <v>2023</v>
      </c>
      <c r="K54" s="14" t="str">
        <f>"SMT-"&amp;CHOOSE(MONTH(InputData[[#This Row],[MONTH]]),1,1,1,1,1,1,2,2,2,2,2,2)</f>
        <v>SMT-1</v>
      </c>
      <c r="L54" s="48">
        <f>'[1]Per AP#2'!$I$7</f>
        <v>463.5</v>
      </c>
    </row>
    <row r="55" spans="1:12">
      <c r="A55" s="4">
        <v>45078</v>
      </c>
      <c r="B55" s="3" t="s">
        <v>23</v>
      </c>
      <c r="C55" s="8">
        <f>'[1]Realisasi Hilirisasi'!$E$166</f>
        <v>337</v>
      </c>
      <c r="D55" s="7">
        <f>'[1]Realisasi Hilirisasi'!$F$166</f>
        <v>5774000000</v>
      </c>
      <c r="E55" s="5">
        <f>'[1]Realisasi Hilirisasi'!$H$166</f>
        <v>86610000</v>
      </c>
      <c r="F55" s="9">
        <f>IFERROR((InputData[[#This Row],[GROSS PROFIT]]/InputData[[#This Row],[REVENUE]])*100%,0)</f>
        <v>1.4999999999999999E-2</v>
      </c>
      <c r="G55" s="3" t="str">
        <f>VLOOKUP(InputData[[#This Row],[PRODUCT ID]],Master[],2,0)</f>
        <v>Other Product</v>
      </c>
      <c r="H55" s="3" t="str">
        <f>VLOOKUP(InputData[[#This Row],[PRODUCT ID]],Master[],3,0)</f>
        <v>KNI</v>
      </c>
      <c r="I55" s="3" t="str">
        <f>TEXT(InputData[[#This Row],[MONTH]],"MMMMMM")</f>
        <v>June</v>
      </c>
      <c r="J55" s="3">
        <f>YEAR(InputData[[#This Row],[MONTH]])</f>
        <v>2023</v>
      </c>
      <c r="K55" s="14" t="str">
        <f>"SMT-"&amp;CHOOSE(MONTH(InputData[[#This Row],[MONTH]]),1,1,1,1,1,1,2,2,2,2,2,2)</f>
        <v>SMT-1</v>
      </c>
      <c r="L55" s="48">
        <v>0</v>
      </c>
    </row>
    <row r="56" spans="1:12">
      <c r="A56" s="4">
        <v>45078</v>
      </c>
      <c r="B56" s="3" t="s">
        <v>21</v>
      </c>
      <c r="C56" s="8">
        <f>'[1]Realisasi Hilirisasi'!$E$171</f>
        <v>57.58</v>
      </c>
      <c r="D56" s="7">
        <f>'[1]Realisasi Hilirisasi'!$F$171</f>
        <v>1137808518</v>
      </c>
      <c r="E56" s="5">
        <f>'[1]Realisasi Hilirisasi'!$H$171</f>
        <v>45512340.719999999</v>
      </c>
      <c r="F56" s="9">
        <f>IFERROR((InputData[[#This Row],[GROSS PROFIT]]/InputData[[#This Row],[REVENUE]])*100%,0)</f>
        <v>0.04</v>
      </c>
      <c r="G56" s="3" t="str">
        <f>VLOOKUP(InputData[[#This Row],[PRODUCT ID]],Master[],2,0)</f>
        <v>Welded Beam</v>
      </c>
      <c r="H56" s="3" t="str">
        <f>VLOOKUP(InputData[[#This Row],[PRODUCT ID]],Master[],3,0)</f>
        <v>KPdP</v>
      </c>
      <c r="I56" s="3" t="str">
        <f>TEXT(InputData[[#This Row],[MONTH]],"MMMMMM")</f>
        <v>June</v>
      </c>
      <c r="J56" s="3">
        <f>YEAR(InputData[[#This Row],[MONTH]])</f>
        <v>2023</v>
      </c>
      <c r="K56" s="14" t="str">
        <f>"SMT-"&amp;CHOOSE(MONTH(InputData[[#This Row],[MONTH]]),1,1,1,1,1,1,2,2,2,2,2,2)</f>
        <v>SMT-1</v>
      </c>
      <c r="L56" s="48">
        <f>'[1]Per AP#2'!$I$8</f>
        <v>157.58000000000001</v>
      </c>
    </row>
    <row r="57" spans="1:12">
      <c r="A57" s="4">
        <v>45078</v>
      </c>
      <c r="B57" s="3" t="s">
        <v>25</v>
      </c>
      <c r="C57" s="8">
        <f>'[1]Realisasi Hilirisasi'!$E$172</f>
        <v>233.8</v>
      </c>
      <c r="D57" s="7">
        <f>'[1]Realisasi Hilirisasi'!$F$172</f>
        <v>3537702246</v>
      </c>
      <c r="E57" s="5">
        <f>'[1]Realisasi Hilirisasi'!$H$172</f>
        <v>141508089.84</v>
      </c>
      <c r="F57" s="9">
        <f>IFERROR((InputData[[#This Row],[GROSS PROFIT]]/InputData[[#This Row],[REVENUE]])*100%,0)</f>
        <v>0.04</v>
      </c>
      <c r="G57" s="3" t="str">
        <f>VLOOKUP(InputData[[#This Row],[PRODUCT ID]],Master[],2,0)</f>
        <v>Custom Product</v>
      </c>
      <c r="H57" s="3" t="str">
        <f>VLOOKUP(InputData[[#This Row],[PRODUCT ID]],Master[],3,0)</f>
        <v>KPdP</v>
      </c>
      <c r="I57" s="3" t="str">
        <f>TEXT(InputData[[#This Row],[MONTH]],"MMMMMM")</f>
        <v>June</v>
      </c>
      <c r="J57" s="3">
        <f>YEAR(InputData[[#This Row],[MONTH]])</f>
        <v>2023</v>
      </c>
      <c r="K57" s="14" t="str">
        <f>"SMT-"&amp;CHOOSE(MONTH(InputData[[#This Row],[MONTH]]),1,1,1,1,1,1,2,2,2,2,2,2)</f>
        <v>SMT-1</v>
      </c>
      <c r="L57" s="48">
        <v>0</v>
      </c>
    </row>
    <row r="58" spans="1:12">
      <c r="A58" s="4">
        <v>45108</v>
      </c>
      <c r="B58" s="3" t="s">
        <v>4</v>
      </c>
      <c r="C58" s="8">
        <f>'[1]Realisasi Hilirisasi'!E177</f>
        <v>44.671550000000003</v>
      </c>
      <c r="D58" s="7">
        <f>'[1]Realisasi Hilirisasi'!F177</f>
        <v>993961475</v>
      </c>
      <c r="E58" s="5">
        <f>'[1]Realisasi Hilirisasi'!H177</f>
        <v>89056715.5</v>
      </c>
      <c r="F58" s="9">
        <f>IFERROR((InputData[[#This Row],[GROSS PROFIT]]/InputData[[#This Row],[REVENUE]])*100%,0)</f>
        <v>8.9597753776120947E-2</v>
      </c>
      <c r="G58" s="3" t="str">
        <f>VLOOKUP(InputData[[#This Row],[PRODUCT ID]],Master[],2,0)</f>
        <v>Tower</v>
      </c>
      <c r="H58" s="3" t="str">
        <f>VLOOKUP(InputData[[#This Row],[PRODUCT ID]],Master[],3,0)</f>
        <v>KBK</v>
      </c>
      <c r="I58" s="3" t="str">
        <f>TEXT(InputData[[#This Row],[MONTH]],"MMMMMM")</f>
        <v>July</v>
      </c>
      <c r="J58" s="3">
        <f>YEAR(InputData[[#This Row],[MONTH]])</f>
        <v>2023</v>
      </c>
      <c r="K58" s="14" t="str">
        <f>"SMT-"&amp;CHOOSE(MONTH(InputData[[#This Row],[MONTH]]),1,1,1,1,1,1,2,2,2,2,2,2)</f>
        <v>SMT-2</v>
      </c>
      <c r="L58" s="48">
        <f>'[1]Per AP#2'!$J$5</f>
        <v>829.42000000000007</v>
      </c>
    </row>
    <row r="59" spans="1:12">
      <c r="A59" s="4">
        <v>45108</v>
      </c>
      <c r="B59" s="3" t="s">
        <v>9</v>
      </c>
      <c r="C59" s="8">
        <f>'[1]Realisasi Hilirisasi'!E178</f>
        <v>323.66034347310347</v>
      </c>
      <c r="D59" s="7">
        <f>'[1]Realisasi Hilirisasi'!F178</f>
        <v>6019616196.7000008</v>
      </c>
      <c r="E59" s="5">
        <f>'[1]Realisasi Hilirisasi'!H178</f>
        <v>21077.790150400637</v>
      </c>
      <c r="F59" s="9">
        <f>IFERROR((InputData[[#This Row],[GROSS PROFIT]]/InputData[[#This Row],[REVENUE]])*100%,0)</f>
        <v>3.5015172831044679E-6</v>
      </c>
      <c r="G59" s="3" t="str">
        <f>VLOOKUP(InputData[[#This Row],[PRODUCT ID]],Master[],2,0)</f>
        <v>Steel Structure</v>
      </c>
      <c r="H59" s="3" t="str">
        <f>VLOOKUP(InputData[[#This Row],[PRODUCT ID]],Master[],3,0)</f>
        <v>KBK</v>
      </c>
      <c r="I59" s="3" t="str">
        <f>TEXT(InputData[[#This Row],[MONTH]],"MMMMMM")</f>
        <v>July</v>
      </c>
      <c r="J59" s="3">
        <f>YEAR(InputData[[#This Row],[MONTH]])</f>
        <v>2023</v>
      </c>
      <c r="K59" s="14" t="str">
        <f>"SMT-"&amp;CHOOSE(MONTH(InputData[[#This Row],[MONTH]]),1,1,1,1,1,1,2,2,2,2,2,2)</f>
        <v>SMT-2</v>
      </c>
      <c r="L59" s="48">
        <v>0</v>
      </c>
    </row>
    <row r="60" spans="1:12">
      <c r="A60" s="4">
        <v>45108</v>
      </c>
      <c r="B60" s="3" t="s">
        <v>11</v>
      </c>
      <c r="C60" s="8">
        <f>'[1]Realisasi Hilirisasi'!E179</f>
        <v>80.028747200000026</v>
      </c>
      <c r="D60" s="7">
        <f>'[1]Realisasi Hilirisasi'!F179</f>
        <v>1841806257.5599995</v>
      </c>
      <c r="E60" s="5">
        <f>'[1]Realisasi Hilirisasi'!H179</f>
        <v>121629551.1362502</v>
      </c>
      <c r="F60" s="9">
        <f>IFERROR((InputData[[#This Row],[GROSS PROFIT]]/InputData[[#This Row],[REVENUE]])*100%,0)</f>
        <v>6.6038189759102792E-2</v>
      </c>
      <c r="G60" s="3" t="str">
        <f>VLOOKUP(InputData[[#This Row],[PRODUCT ID]],Master[],2,0)</f>
        <v>Steel Creative &amp; Component</v>
      </c>
      <c r="H60" s="3" t="str">
        <f>VLOOKUP(InputData[[#This Row],[PRODUCT ID]],Master[],3,0)</f>
        <v>KBK</v>
      </c>
      <c r="I60" s="3" t="str">
        <f>TEXT(InputData[[#This Row],[MONTH]],"MMMMMM")</f>
        <v>July</v>
      </c>
      <c r="J60" s="3">
        <f>YEAR(InputData[[#This Row],[MONTH]])</f>
        <v>2023</v>
      </c>
      <c r="K60" s="14" t="str">
        <f>"SMT-"&amp;CHOOSE(MONTH(InputData[[#This Row],[MONTH]]),1,1,1,1,1,1,2,2,2,2,2,2)</f>
        <v>SMT-2</v>
      </c>
      <c r="L60" s="48">
        <v>0</v>
      </c>
    </row>
    <row r="61" spans="1:12">
      <c r="A61" s="4">
        <v>45108</v>
      </c>
      <c r="B61" s="3" t="s">
        <v>24</v>
      </c>
      <c r="C61" s="8">
        <f>'[1]Realisasi Hilirisasi'!E180</f>
        <v>806.68399999999997</v>
      </c>
      <c r="D61" s="7">
        <f>'[1]Realisasi Hilirisasi'!F180</f>
        <v>5641783243.1599998</v>
      </c>
      <c r="E61" s="5">
        <f>'[1]Realisasi Hilirisasi'!H180</f>
        <v>403342000</v>
      </c>
      <c r="F61" s="9">
        <f>IFERROR((InputData[[#This Row],[GROSS PROFIT]]/InputData[[#This Row],[REVENUE]])*100%,0)</f>
        <v>7.1491934839752108E-2</v>
      </c>
      <c r="G61" s="3" t="str">
        <f>VLOOKUP(InputData[[#This Row],[PRODUCT ID]],Master[],2,0)</f>
        <v>Cut to Lenght</v>
      </c>
      <c r="H61" s="3" t="str">
        <f>VLOOKUP(InputData[[#This Row],[PRODUCT ID]],Master[],3,0)</f>
        <v>KBK</v>
      </c>
      <c r="I61" s="3" t="str">
        <f>TEXT(InputData[[#This Row],[MONTH]],"MMMMMM")</f>
        <v>July</v>
      </c>
      <c r="J61" s="3">
        <f>YEAR(InputData[[#This Row],[MONTH]])</f>
        <v>2023</v>
      </c>
      <c r="K61" s="14" t="str">
        <f>"SMT-"&amp;CHOOSE(MONTH(InputData[[#This Row],[MONTH]]),1,1,1,1,1,1,2,2,2,2,2,2)</f>
        <v>SMT-2</v>
      </c>
      <c r="L61" s="48">
        <v>0</v>
      </c>
    </row>
    <row r="62" spans="1:12">
      <c r="A62" s="4">
        <v>45108</v>
      </c>
      <c r="B62" s="3" t="s">
        <v>12</v>
      </c>
      <c r="C62" s="6">
        <f>'[1]Realisasi Hilirisasi'!E184</f>
        <v>407.2</v>
      </c>
      <c r="D62" s="7">
        <f>'[1]Realisasi Hilirisasi'!F184</f>
        <v>6187422200</v>
      </c>
      <c r="E62" s="5">
        <f>'[1]Realisasi Hilirisasi'!$H$184</f>
        <v>70063700</v>
      </c>
      <c r="F62" s="9">
        <f>IFERROR((InputData[[#This Row],[GROSS PROFIT]]/InputData[[#This Row],[REVENUE]])*100%,0)</f>
        <v>1.1323568642204504E-2</v>
      </c>
      <c r="G62" s="3" t="str">
        <f>VLOOKUP(InputData[[#This Row],[PRODUCT ID]],Master[],2,0)</f>
        <v>Electric Pole</v>
      </c>
      <c r="H62" s="3" t="str">
        <f>VLOOKUP(InputData[[#This Row],[PRODUCT ID]],Master[],3,0)</f>
        <v>KPI</v>
      </c>
      <c r="I62" s="3" t="str">
        <f>TEXT(InputData[[#This Row],[MONTH]],"MMMMMM")</f>
        <v>July</v>
      </c>
      <c r="J62" s="3">
        <f>YEAR(InputData[[#This Row],[MONTH]])</f>
        <v>2023</v>
      </c>
      <c r="K62" s="14" t="str">
        <f>"SMT-"&amp;CHOOSE(MONTH(InputData[[#This Row],[MONTH]]),1,1,1,1,1,1,2,2,2,2,2,2)</f>
        <v>SMT-2</v>
      </c>
      <c r="L62" s="48">
        <f>'[1]Per AP#2'!$J$6</f>
        <v>500</v>
      </c>
    </row>
    <row r="63" spans="1:12">
      <c r="A63" s="4">
        <v>45108</v>
      </c>
      <c r="B63" s="3" t="s">
        <v>19</v>
      </c>
      <c r="C63" s="8">
        <f>'[1]Realisasi Hilirisasi'!$E$192</f>
        <v>578.0797111602817</v>
      </c>
      <c r="D63" s="7">
        <f>'[1]Realisasi Hilirisasi'!$F$192</f>
        <v>10170619525</v>
      </c>
      <c r="E63" s="5">
        <f>'[1]Realisasi Hilirisasi'!$H$192</f>
        <v>194816729</v>
      </c>
      <c r="F63" s="9">
        <f>IFERROR((InputData[[#This Row],[GROSS PROFIT]]/InputData[[#This Row],[REVENUE]])*100%,0)</f>
        <v>1.9154853696092815E-2</v>
      </c>
      <c r="G63" s="3" t="str">
        <f>VLOOKUP(InputData[[#This Row],[PRODUCT ID]],Master[],2,0)</f>
        <v>Baja Ringan</v>
      </c>
      <c r="H63" s="3" t="str">
        <f>VLOOKUP(InputData[[#This Row],[PRODUCT ID]],Master[],3,0)</f>
        <v>KNI</v>
      </c>
      <c r="I63" s="3" t="str">
        <f>TEXT(InputData[[#This Row],[MONTH]],"MMMMMM")</f>
        <v>July</v>
      </c>
      <c r="J63" s="3">
        <f>YEAR(InputData[[#This Row],[MONTH]])</f>
        <v>2023</v>
      </c>
      <c r="K63" s="14" t="str">
        <f>"SMT-"&amp;CHOOSE(MONTH(InputData[[#This Row],[MONTH]]),1,1,1,1,1,1,2,2,2,2,2,2)</f>
        <v>SMT-2</v>
      </c>
      <c r="L63" s="48">
        <f>'[1]Per AP#2'!$J$7</f>
        <v>513</v>
      </c>
    </row>
    <row r="64" spans="1:12">
      <c r="A64" s="4">
        <v>45108</v>
      </c>
      <c r="B64" s="3" t="s">
        <v>23</v>
      </c>
      <c r="C64" s="8">
        <f>'[1]Realisasi Hilirisasi'!$E$195</f>
        <v>47.782400000000003</v>
      </c>
      <c r="D64" s="7">
        <f>'[1]Realisasi Hilirisasi'!$F$195</f>
        <v>785414898</v>
      </c>
      <c r="E64" s="5">
        <f>'[1]Realisasi Hilirisasi'!$H$195</f>
        <v>20232921.759369373</v>
      </c>
      <c r="F64" s="9">
        <f>IFERROR((InputData[[#This Row],[GROSS PROFIT]]/InputData[[#This Row],[REVENUE]])*100%,0)</f>
        <v>2.5760807199979256E-2</v>
      </c>
      <c r="G64" s="3" t="str">
        <f>VLOOKUP(InputData[[#This Row],[PRODUCT ID]],Master[],2,0)</f>
        <v>Other Product</v>
      </c>
      <c r="H64" s="3" t="str">
        <f>VLOOKUP(InputData[[#This Row],[PRODUCT ID]],Master[],3,0)</f>
        <v>KNI</v>
      </c>
      <c r="I64" s="3" t="str">
        <f>TEXT(InputData[[#This Row],[MONTH]],"MMMMMM")</f>
        <v>July</v>
      </c>
      <c r="J64" s="3">
        <f>YEAR(InputData[[#This Row],[MONTH]])</f>
        <v>2023</v>
      </c>
      <c r="K64" s="14" t="str">
        <f>"SMT-"&amp;CHOOSE(MONTH(InputData[[#This Row],[MONTH]]),1,1,1,1,1,1,2,2,2,2,2,2)</f>
        <v>SMT-2</v>
      </c>
      <c r="L64" s="48">
        <v>0</v>
      </c>
    </row>
    <row r="65" spans="1:12">
      <c r="A65" s="4">
        <v>45108</v>
      </c>
      <c r="B65" s="3" t="s">
        <v>21</v>
      </c>
      <c r="C65" s="8">
        <f>'[1]Realisasi Hilirisasi'!$E$200</f>
        <v>57.58</v>
      </c>
      <c r="D65" s="7">
        <f>'[1]Realisasi Hilirisasi'!$F$200</f>
        <v>1137808518</v>
      </c>
      <c r="E65" s="5">
        <f>'[1]Realisasi Hilirisasi'!$H$200</f>
        <v>45512340.719999999</v>
      </c>
      <c r="F65" s="9">
        <f>IFERROR((InputData[[#This Row],[GROSS PROFIT]]/InputData[[#This Row],[REVENUE]])*100%,0)</f>
        <v>0.04</v>
      </c>
      <c r="G65" s="3" t="str">
        <f>VLOOKUP(InputData[[#This Row],[PRODUCT ID]],Master[],2,0)</f>
        <v>Welded Beam</v>
      </c>
      <c r="H65" s="3" t="str">
        <f>VLOOKUP(InputData[[#This Row],[PRODUCT ID]],Master[],3,0)</f>
        <v>KPdP</v>
      </c>
      <c r="I65" s="3" t="str">
        <f>TEXT(InputData[[#This Row],[MONTH]],"MMMMMM")</f>
        <v>July</v>
      </c>
      <c r="J65" s="3">
        <f>YEAR(InputData[[#This Row],[MONTH]])</f>
        <v>2023</v>
      </c>
      <c r="K65" s="14" t="str">
        <f>"SMT-"&amp;CHOOSE(MONTH(InputData[[#This Row],[MONTH]]),1,1,1,1,1,1,2,2,2,2,2,2)</f>
        <v>SMT-2</v>
      </c>
      <c r="L65" s="48">
        <f>'[1]Per AP#2'!$J$8</f>
        <v>157.58000000000001</v>
      </c>
    </row>
    <row r="66" spans="1:12">
      <c r="A66" s="4">
        <v>45139</v>
      </c>
      <c r="B66" s="3" t="s">
        <v>4</v>
      </c>
      <c r="C66" s="8">
        <f>'[1]Realisasi Hilirisasi'!E207</f>
        <v>89.137439999999984</v>
      </c>
      <c r="D66" s="7">
        <f>'[1]Realisasi Hilirisasi'!F207</f>
        <v>1992611524</v>
      </c>
      <c r="E66" s="5">
        <f>'[1]Realisasi Hilirisasi'!H207</f>
        <v>159408921.92000002</v>
      </c>
      <c r="F66" s="9">
        <f>IFERROR((InputData[[#This Row],[GROSS PROFIT]]/InputData[[#This Row],[REVENUE]])*100%,0)</f>
        <v>0.08</v>
      </c>
      <c r="G66" s="3" t="str">
        <f>VLOOKUP(InputData[[#This Row],[PRODUCT ID]],Master[],2,0)</f>
        <v>Tower</v>
      </c>
      <c r="H66" s="3" t="str">
        <f>VLOOKUP(InputData[[#This Row],[PRODUCT ID]],Master[],3,0)</f>
        <v>KBK</v>
      </c>
      <c r="I66" s="3" t="str">
        <f>TEXT(InputData[[#This Row],[MONTH]],"MMMMMM")</f>
        <v>August</v>
      </c>
      <c r="J66" s="3">
        <f>YEAR(InputData[[#This Row],[MONTH]])</f>
        <v>2023</v>
      </c>
      <c r="K66" s="14" t="str">
        <f>"SMT-"&amp;CHOOSE(MONTH(InputData[[#This Row],[MONTH]]),1,1,1,1,1,1,2,2,2,2,2,2)</f>
        <v>SMT-2</v>
      </c>
      <c r="L66" s="48">
        <f>'[1]Per AP#2'!$K$5</f>
        <v>1320</v>
      </c>
    </row>
    <row r="67" spans="1:12">
      <c r="A67" s="4">
        <v>45139</v>
      </c>
      <c r="B67" s="3" t="s">
        <v>9</v>
      </c>
      <c r="C67" s="8">
        <f>'[1]Realisasi Hilirisasi'!E208</f>
        <v>130.81265595573313</v>
      </c>
      <c r="D67" s="7">
        <f>'[1]Realisasi Hilirisasi'!F208</f>
        <v>3118854318.7399998</v>
      </c>
      <c r="E67" s="5">
        <f>'[1]Realisasi Hilirisasi'!H208</f>
        <v>249508345.49919999</v>
      </c>
      <c r="F67" s="9">
        <f>IFERROR((InputData[[#This Row],[GROSS PROFIT]]/InputData[[#This Row],[REVENUE]])*100%,0)</f>
        <v>0.08</v>
      </c>
      <c r="G67" s="3" t="str">
        <f>VLOOKUP(InputData[[#This Row],[PRODUCT ID]],Master[],2,0)</f>
        <v>Steel Structure</v>
      </c>
      <c r="H67" s="3" t="str">
        <f>VLOOKUP(InputData[[#This Row],[PRODUCT ID]],Master[],3,0)</f>
        <v>KBK</v>
      </c>
      <c r="I67" s="3" t="str">
        <f>TEXT(InputData[[#This Row],[MONTH]],"MMMMMM")</f>
        <v>August</v>
      </c>
      <c r="J67" s="3">
        <f>YEAR(InputData[[#This Row],[MONTH]])</f>
        <v>2023</v>
      </c>
      <c r="K67" s="14" t="str">
        <f>"SMT-"&amp;CHOOSE(MONTH(InputData[[#This Row],[MONTH]]),1,1,1,1,1,1,2,2,2,2,2,2)</f>
        <v>SMT-2</v>
      </c>
      <c r="L67" s="48">
        <v>0</v>
      </c>
    </row>
    <row r="68" spans="1:12">
      <c r="A68" s="4">
        <v>45139</v>
      </c>
      <c r="B68" s="3" t="s">
        <v>11</v>
      </c>
      <c r="C68" s="8">
        <f>'[1]Realisasi Hilirisasi'!E209</f>
        <v>178.54794661962217</v>
      </c>
      <c r="D68" s="7">
        <f>'[1]Realisasi Hilirisasi'!F209</f>
        <v>3073059100.5699997</v>
      </c>
      <c r="E68" s="5">
        <f>'[1]Realisasi Hilirisasi'!H209</f>
        <v>245844728.04559997</v>
      </c>
      <c r="F68" s="9">
        <f>IFERROR((InputData[[#This Row],[GROSS PROFIT]]/InputData[[#This Row],[REVENUE]])*100%,0)</f>
        <v>0.08</v>
      </c>
      <c r="G68" s="3" t="str">
        <f>VLOOKUP(InputData[[#This Row],[PRODUCT ID]],Master[],2,0)</f>
        <v>Steel Creative &amp; Component</v>
      </c>
      <c r="H68" s="3" t="str">
        <f>VLOOKUP(InputData[[#This Row],[PRODUCT ID]],Master[],3,0)</f>
        <v>KBK</v>
      </c>
      <c r="I68" s="3" t="str">
        <f>TEXT(InputData[[#This Row],[MONTH]],"MMMMMM")</f>
        <v>August</v>
      </c>
      <c r="J68" s="3">
        <f>YEAR(InputData[[#This Row],[MONTH]])</f>
        <v>2023</v>
      </c>
      <c r="K68" s="14" t="str">
        <f>"SMT-"&amp;CHOOSE(MONTH(InputData[[#This Row],[MONTH]]),1,1,1,1,1,1,2,2,2,2,2,2)</f>
        <v>SMT-2</v>
      </c>
      <c r="L68" s="48">
        <v>0</v>
      </c>
    </row>
    <row r="69" spans="1:12">
      <c r="A69" s="4">
        <v>45139</v>
      </c>
      <c r="B69" s="3" t="s">
        <v>24</v>
      </c>
      <c r="C69" s="8">
        <f>'[1]Realisasi Hilirisasi'!E210</f>
        <v>375.15199999999999</v>
      </c>
      <c r="D69" s="7">
        <f>'[1]Realisasi Hilirisasi'!F210</f>
        <v>2911747104</v>
      </c>
      <c r="E69" s="5">
        <f>'[1]Realisasi Hilirisasi'!H210</f>
        <v>187576000</v>
      </c>
      <c r="F69" s="9">
        <f>IFERROR((InputData[[#This Row],[GROSS PROFIT]]/InputData[[#This Row],[REVENUE]])*100%,0)</f>
        <v>6.4420429831395135E-2</v>
      </c>
      <c r="G69" s="3" t="str">
        <f>VLOOKUP(InputData[[#This Row],[PRODUCT ID]],Master[],2,0)</f>
        <v>Cut to Lenght</v>
      </c>
      <c r="H69" s="3" t="str">
        <f>VLOOKUP(InputData[[#This Row],[PRODUCT ID]],Master[],3,0)</f>
        <v>KBK</v>
      </c>
      <c r="I69" s="3" t="str">
        <f>TEXT(InputData[[#This Row],[MONTH]],"MMMMMM")</f>
        <v>August</v>
      </c>
      <c r="J69" s="3">
        <f>YEAR(InputData[[#This Row],[MONTH]])</f>
        <v>2023</v>
      </c>
      <c r="K69" s="14" t="str">
        <f>"SMT-"&amp;CHOOSE(MONTH(InputData[[#This Row],[MONTH]]),1,1,1,1,1,1,2,2,2,2,2,2)</f>
        <v>SMT-2</v>
      </c>
      <c r="L69" s="48">
        <v>0</v>
      </c>
    </row>
    <row r="70" spans="1:12">
      <c r="A70" s="4">
        <v>45139</v>
      </c>
      <c r="B70" s="3" t="s">
        <v>12</v>
      </c>
      <c r="C70" s="8">
        <f>'[1]Realisasi Hilirisasi'!$E$214</f>
        <v>256.3</v>
      </c>
      <c r="D70" s="7">
        <f>'[1]Realisasi Hilirisasi'!$F$214</f>
        <v>3983414600</v>
      </c>
      <c r="E70" s="5">
        <f>'[1]Realisasi Hilirisasi'!$H$214</f>
        <v>73558100</v>
      </c>
      <c r="F70" s="9">
        <f>IFERROR((InputData[[#This Row],[GROSS PROFIT]]/InputData[[#This Row],[REVENUE]])*100%,0)</f>
        <v>1.8466091880066916E-2</v>
      </c>
      <c r="G70" s="3" t="str">
        <f>VLOOKUP(InputData[[#This Row],[PRODUCT ID]],Master[],2,0)</f>
        <v>Electric Pole</v>
      </c>
      <c r="H70" s="3" t="str">
        <f>VLOOKUP(InputData[[#This Row],[PRODUCT ID]],Master[],3,0)</f>
        <v>KPI</v>
      </c>
      <c r="I70" s="3" t="str">
        <f>TEXT(InputData[[#This Row],[MONTH]],"MMMMMM")</f>
        <v>August</v>
      </c>
      <c r="J70" s="3">
        <f>YEAR(InputData[[#This Row],[MONTH]])</f>
        <v>2023</v>
      </c>
      <c r="K70" s="14" t="str">
        <f>"SMT-"&amp;CHOOSE(MONTH(InputData[[#This Row],[MONTH]]),1,1,1,1,1,1,2,2,2,2,2,2)</f>
        <v>SMT-2</v>
      </c>
      <c r="L70" s="48">
        <f>'[1]Per AP#2'!$K$6</f>
        <v>500</v>
      </c>
    </row>
    <row r="71" spans="1:12">
      <c r="A71" s="4">
        <v>45139</v>
      </c>
      <c r="B71" s="3" t="s">
        <v>19</v>
      </c>
      <c r="C71" s="8">
        <f>'[1]Realisasi Hilirisasi'!$E$222</f>
        <v>393.31233141498944</v>
      </c>
      <c r="D71" s="7">
        <f>'[1]Realisasi Hilirisasi'!$F$222</f>
        <v>6853340680</v>
      </c>
      <c r="E71" s="5">
        <f>'[1]Realisasi Hilirisasi'!$H$222</f>
        <v>101564353</v>
      </c>
      <c r="F71" s="9">
        <f>IFERROR((InputData[[#This Row],[GROSS PROFIT]]/InputData[[#This Row],[REVENUE]])*100%,0)</f>
        <v>1.4819685426757451E-2</v>
      </c>
      <c r="G71" s="3" t="str">
        <f>VLOOKUP(InputData[[#This Row],[PRODUCT ID]],Master[],2,0)</f>
        <v>Baja Ringan</v>
      </c>
      <c r="H71" s="3" t="str">
        <f>VLOOKUP(InputData[[#This Row],[PRODUCT ID]],Master[],3,0)</f>
        <v>KNI</v>
      </c>
      <c r="I71" s="3" t="str">
        <f>TEXT(InputData[[#This Row],[MONTH]],"MMMMMM")</f>
        <v>August</v>
      </c>
      <c r="J71" s="3">
        <f>YEAR(InputData[[#This Row],[MONTH]])</f>
        <v>2023</v>
      </c>
      <c r="K71" s="14" t="str">
        <f>"SMT-"&amp;CHOOSE(MONTH(InputData[[#This Row],[MONTH]]),1,1,1,1,1,1,2,2,2,2,2,2)</f>
        <v>SMT-2</v>
      </c>
      <c r="L71" s="48">
        <f>'[1]Per AP#2'!$L$7</f>
        <v>522</v>
      </c>
    </row>
    <row r="72" spans="1:12">
      <c r="A72" s="4">
        <v>45139</v>
      </c>
      <c r="B72" s="3" t="s">
        <v>23</v>
      </c>
      <c r="C72" s="8">
        <f>'[1]Realisasi Hilirisasi'!$E$225</f>
        <v>55.878949999999996</v>
      </c>
      <c r="D72" s="7">
        <f>'[1]Realisasi Hilirisasi'!$F$225</f>
        <v>865583350</v>
      </c>
      <c r="E72" s="5">
        <f>'[1]Realisasi Hilirisasi'!$H$225</f>
        <v>11162164.414414443</v>
      </c>
      <c r="F72" s="9">
        <f>IFERROR((InputData[[#This Row],[GROSS PROFIT]]/InputData[[#This Row],[REVENUE]])*100%,0)</f>
        <v>1.2895539654747799E-2</v>
      </c>
      <c r="G72" s="3" t="str">
        <f>VLOOKUP(InputData[[#This Row],[PRODUCT ID]],Master[],2,0)</f>
        <v>Other Product</v>
      </c>
      <c r="H72" s="3" t="str">
        <f>VLOOKUP(InputData[[#This Row],[PRODUCT ID]],Master[],3,0)</f>
        <v>KNI</v>
      </c>
      <c r="I72" s="3" t="str">
        <f>TEXT(InputData[[#This Row],[MONTH]],"MMMMMM")</f>
        <v>August</v>
      </c>
      <c r="J72" s="3">
        <f>YEAR(InputData[[#This Row],[MONTH]])</f>
        <v>2023</v>
      </c>
      <c r="K72" s="14" t="str">
        <f>"SMT-"&amp;CHOOSE(MONTH(InputData[[#This Row],[MONTH]]),1,1,1,1,1,1,2,2,2,2,2,2)</f>
        <v>SMT-2</v>
      </c>
      <c r="L72" s="48">
        <v>0</v>
      </c>
    </row>
    <row r="73" spans="1:12">
      <c r="A73" s="4">
        <v>45139</v>
      </c>
      <c r="B73" s="3" t="s">
        <v>21</v>
      </c>
      <c r="C73" s="8">
        <f>'[1]Realisasi Hilirisasi'!$E$230</f>
        <v>57.58</v>
      </c>
      <c r="D73" s="7">
        <f>'[1]Realisasi Hilirisasi'!$F$230</f>
        <v>1137808518</v>
      </c>
      <c r="E73" s="5">
        <f>'[1]Realisasi Hilirisasi'!$H$230</f>
        <v>45512340.719999999</v>
      </c>
      <c r="F73" s="9">
        <f>IFERROR((InputData[[#This Row],[GROSS PROFIT]]/InputData[[#This Row],[REVENUE]])*100%,0)</f>
        <v>0.04</v>
      </c>
      <c r="G73" s="3" t="str">
        <f>VLOOKUP(InputData[[#This Row],[PRODUCT ID]],Master[],2,0)</f>
        <v>Welded Beam</v>
      </c>
      <c r="H73" s="3" t="str">
        <f>VLOOKUP(InputData[[#This Row],[PRODUCT ID]],Master[],3,0)</f>
        <v>KPdP</v>
      </c>
      <c r="I73" s="3" t="str">
        <f>TEXT(InputData[[#This Row],[MONTH]],"MMMMMM")</f>
        <v>August</v>
      </c>
      <c r="J73" s="3">
        <f>YEAR(InputData[[#This Row],[MONTH]])</f>
        <v>2023</v>
      </c>
      <c r="K73" s="14" t="str">
        <f>"SMT-"&amp;CHOOSE(MONTH(InputData[[#This Row],[MONTH]]),1,1,1,1,1,1,2,2,2,2,2,2)</f>
        <v>SMT-2</v>
      </c>
      <c r="L73" s="48">
        <f>'[1]Per AP#2'!$K$8</f>
        <v>158</v>
      </c>
    </row>
    <row r="74" spans="1:12">
      <c r="A74" s="4">
        <v>45170</v>
      </c>
      <c r="B74" s="3" t="s">
        <v>4</v>
      </c>
      <c r="C74" s="8">
        <f>'[1]Realisasi Hilirisasi'!E237</f>
        <v>7.5552099999999998</v>
      </c>
      <c r="D74" s="7">
        <f>'[1]Realisasi Hilirisasi'!F237</f>
        <v>169992225</v>
      </c>
      <c r="E74" s="5">
        <f>'[1]Realisasi Hilirisasi'!H237</f>
        <v>16621462</v>
      </c>
      <c r="F74" s="9">
        <f>IFERROR((InputData[[#This Row],[GROSS PROFIT]]/InputData[[#This Row],[REVENUE]])*100%,0)</f>
        <v>9.7777777777777783E-2</v>
      </c>
      <c r="G74" s="3" t="str">
        <f>VLOOKUP(InputData[[#This Row],[PRODUCT ID]],Master[],2,0)</f>
        <v>Tower</v>
      </c>
      <c r="H74" s="3" t="str">
        <f>VLOOKUP(InputData[[#This Row],[PRODUCT ID]],Master[],3,0)</f>
        <v>KBK</v>
      </c>
      <c r="I74" s="3" t="str">
        <f>TEXT(InputData[[#This Row],[MONTH]],"MMMMMM")</f>
        <v>September</v>
      </c>
      <c r="J74" s="3">
        <f>YEAR(InputData[[#This Row],[MONTH]])</f>
        <v>2023</v>
      </c>
      <c r="K74" s="14" t="str">
        <f>"SMT-"&amp;CHOOSE(MONTH(InputData[[#This Row],[MONTH]]),1,1,1,1,1,1,2,2,2,2,2,2)</f>
        <v>SMT-2</v>
      </c>
      <c r="L74" s="48">
        <f>'[1]Per AP#2'!$L$5</f>
        <v>1570</v>
      </c>
    </row>
    <row r="75" spans="1:12">
      <c r="A75" s="4">
        <v>45170</v>
      </c>
      <c r="B75" s="3" t="s">
        <v>9</v>
      </c>
      <c r="C75" s="8">
        <f>'[1]Realisasi Hilirisasi'!E238</f>
        <v>6.6690857278571434</v>
      </c>
      <c r="D75" s="7">
        <f>'[1]Realisasi Hilirisasi'!F238</f>
        <v>186734400.38</v>
      </c>
      <c r="E75" s="5">
        <f>'[1]Realisasi Hilirisasi'!H238</f>
        <v>9336720.0189999994</v>
      </c>
      <c r="F75" s="9">
        <f>IFERROR((InputData[[#This Row],[GROSS PROFIT]]/InputData[[#This Row],[REVENUE]])*100%,0)</f>
        <v>4.9999999999999996E-2</v>
      </c>
      <c r="G75" s="3" t="str">
        <f>VLOOKUP(InputData[[#This Row],[PRODUCT ID]],Master[],2,0)</f>
        <v>Steel Structure</v>
      </c>
      <c r="H75" s="3" t="str">
        <f>VLOOKUP(InputData[[#This Row],[PRODUCT ID]],Master[],3,0)</f>
        <v>KBK</v>
      </c>
      <c r="I75" s="3" t="str">
        <f>TEXT(InputData[[#This Row],[MONTH]],"MMMMMM")</f>
        <v>September</v>
      </c>
      <c r="J75" s="3">
        <f>YEAR(InputData[[#This Row],[MONTH]])</f>
        <v>2023</v>
      </c>
      <c r="K75" s="14" t="str">
        <f>"SMT-"&amp;CHOOSE(MONTH(InputData[[#This Row],[MONTH]]),1,1,1,1,1,1,2,2,2,2,2,2)</f>
        <v>SMT-2</v>
      </c>
      <c r="L75" s="48">
        <v>0</v>
      </c>
    </row>
    <row r="76" spans="1:12">
      <c r="A76" s="4">
        <v>45170</v>
      </c>
      <c r="B76" s="3" t="s">
        <v>11</v>
      </c>
      <c r="C76" s="8">
        <f>'[1]Realisasi Hilirisasi'!E239</f>
        <v>490.92646666666667</v>
      </c>
      <c r="D76" s="7">
        <f>'[1]Realisasi Hilirisasi'!F239</f>
        <v>1446682967.04</v>
      </c>
      <c r="E76" s="5">
        <f>'[1]Realisasi Hilirisasi'!H239</f>
        <v>179114338.104</v>
      </c>
      <c r="F76" s="9">
        <f>IFERROR((InputData[[#This Row],[GROSS PROFIT]]/InputData[[#This Row],[REVENUE]])*100%,0)</f>
        <v>0.1238103594116952</v>
      </c>
      <c r="G76" s="3" t="str">
        <f>VLOOKUP(InputData[[#This Row],[PRODUCT ID]],Master[],2,0)</f>
        <v>Steel Creative &amp; Component</v>
      </c>
      <c r="H76" s="3" t="str">
        <f>VLOOKUP(InputData[[#This Row],[PRODUCT ID]],Master[],3,0)</f>
        <v>KBK</v>
      </c>
      <c r="I76" s="3" t="str">
        <f>TEXT(InputData[[#This Row],[MONTH]],"MMMMMM")</f>
        <v>September</v>
      </c>
      <c r="J76" s="3">
        <f>YEAR(InputData[[#This Row],[MONTH]])</f>
        <v>2023</v>
      </c>
      <c r="K76" s="14" t="str">
        <f>"SMT-"&amp;CHOOSE(MONTH(InputData[[#This Row],[MONTH]]),1,1,1,1,1,1,2,2,2,2,2,2)</f>
        <v>SMT-2</v>
      </c>
      <c r="L76" s="48">
        <v>0</v>
      </c>
    </row>
    <row r="77" spans="1:12">
      <c r="A77" s="4">
        <v>45170</v>
      </c>
      <c r="B77" s="3" t="s">
        <v>24</v>
      </c>
      <c r="C77" s="8">
        <f>'[1]Realisasi Hilirisasi'!E240</f>
        <v>268.8252</v>
      </c>
      <c r="D77" s="7">
        <f>'[1]Realisasi Hilirisasi'!F240</f>
        <v>2008330840</v>
      </c>
      <c r="E77" s="5">
        <f>'[1]Realisasi Hilirisasi'!H240</f>
        <v>80647560</v>
      </c>
      <c r="F77" s="9">
        <f>IFERROR((InputData[[#This Row],[GROSS PROFIT]]/InputData[[#This Row],[REVENUE]])*100%,0)</f>
        <v>4.0156511264847178E-2</v>
      </c>
      <c r="G77" s="3" t="str">
        <f>VLOOKUP(InputData[[#This Row],[PRODUCT ID]],Master[],2,0)</f>
        <v>Cut to Lenght</v>
      </c>
      <c r="H77" s="3" t="str">
        <f>VLOOKUP(InputData[[#This Row],[PRODUCT ID]],Master[],3,0)</f>
        <v>KBK</v>
      </c>
      <c r="I77" s="3" t="str">
        <f>TEXT(InputData[[#This Row],[MONTH]],"MMMMMM")</f>
        <v>September</v>
      </c>
      <c r="J77" s="3">
        <f>YEAR(InputData[[#This Row],[MONTH]])</f>
        <v>2023</v>
      </c>
      <c r="K77" s="14" t="str">
        <f>"SMT-"&amp;CHOOSE(MONTH(InputData[[#This Row],[MONTH]]),1,1,1,1,1,1,2,2,2,2,2,2)</f>
        <v>SMT-2</v>
      </c>
      <c r="L77" s="48">
        <v>0</v>
      </c>
    </row>
    <row r="78" spans="1:12">
      <c r="A78" s="4">
        <v>45170</v>
      </c>
      <c r="B78" s="3" t="s">
        <v>22</v>
      </c>
      <c r="C78" s="8">
        <f>'[1]Realisasi Hilirisasi'!E241</f>
        <v>3.68</v>
      </c>
      <c r="D78" s="7">
        <f>'[1]Realisasi Hilirisasi'!F241</f>
        <v>92000000</v>
      </c>
      <c r="E78" s="5">
        <f>'[1]Realisasi Hilirisasi'!H241</f>
        <v>7360000</v>
      </c>
      <c r="F78" s="9">
        <f>IFERROR((InputData[[#This Row],[GROSS PROFIT]]/InputData[[#This Row],[REVENUE]])*100%,0)</f>
        <v>0.08</v>
      </c>
      <c r="G78" s="3" t="str">
        <f>VLOOKUP(InputData[[#This Row],[PRODUCT ID]],Master[],2,0)</f>
        <v>Modular</v>
      </c>
      <c r="H78" s="3" t="str">
        <f>VLOOKUP(InputData[[#This Row],[PRODUCT ID]],Master[],3,0)</f>
        <v>KBK</v>
      </c>
      <c r="I78" s="3" t="str">
        <f>TEXT(InputData[[#This Row],[MONTH]],"MMMMMM")</f>
        <v>September</v>
      </c>
      <c r="J78" s="3">
        <f>YEAR(InputData[[#This Row],[MONTH]])</f>
        <v>2023</v>
      </c>
      <c r="K78" s="14" t="str">
        <f>"SMT-"&amp;CHOOSE(MONTH(InputData[[#This Row],[MONTH]]),1,1,1,1,1,1,2,2,2,2,2,2)</f>
        <v>SMT-2</v>
      </c>
      <c r="L78" s="48">
        <v>0</v>
      </c>
    </row>
    <row r="79" spans="1:12">
      <c r="A79" s="4">
        <v>45170</v>
      </c>
      <c r="B79" s="3" t="s">
        <v>12</v>
      </c>
      <c r="C79" s="8">
        <f>'[1]Realisasi Hilirisasi'!E244</f>
        <v>521.62099999999998</v>
      </c>
      <c r="D79" s="7">
        <f>'[1]Realisasi Hilirisasi'!F244</f>
        <v>7857715582</v>
      </c>
      <c r="E79" s="5">
        <f>'[1]Realisasi Hilirisasi'!H244</f>
        <v>67112227</v>
      </c>
      <c r="F79" s="9">
        <f>IFERROR((InputData[[#This Row],[GROSS PROFIT]]/InputData[[#This Row],[REVENUE]])*100%,0)</f>
        <v>8.5409335957306477E-3</v>
      </c>
      <c r="G79" s="3" t="str">
        <f>VLOOKUP(InputData[[#This Row],[PRODUCT ID]],Master[],2,0)</f>
        <v>Electric Pole</v>
      </c>
      <c r="H79" s="3" t="str">
        <f>VLOOKUP(InputData[[#This Row],[PRODUCT ID]],Master[],3,0)</f>
        <v>KPI</v>
      </c>
      <c r="I79" s="3" t="str">
        <f>TEXT(InputData[[#This Row],[MONTH]],"MMMMMM")</f>
        <v>September</v>
      </c>
      <c r="J79" s="3">
        <f>YEAR(InputData[[#This Row],[MONTH]])</f>
        <v>2023</v>
      </c>
      <c r="K79" s="14" t="str">
        <f>"SMT-"&amp;CHOOSE(MONTH(InputData[[#This Row],[MONTH]]),1,1,1,1,1,1,2,2,2,2,2,2)</f>
        <v>SMT-2</v>
      </c>
      <c r="L79" s="48">
        <f>'[1]Per AP#2'!$L$6</f>
        <v>500</v>
      </c>
    </row>
    <row r="80" spans="1:12">
      <c r="A80" s="4">
        <v>45170</v>
      </c>
      <c r="B80" s="3" t="s">
        <v>14</v>
      </c>
      <c r="C80" s="8">
        <f>'[1]Realisasi Hilirisasi'!E245</f>
        <v>19.25</v>
      </c>
      <c r="D80" s="7">
        <f>'[1]Realisasi Hilirisasi'!F245</f>
        <v>362500000</v>
      </c>
      <c r="E80" s="5">
        <f>'[1]Realisasi Hilirisasi'!H245</f>
        <v>14822500</v>
      </c>
      <c r="F80" s="9">
        <f>IFERROR((InputData[[#This Row],[GROSS PROFIT]]/InputData[[#This Row],[REVENUE]])*100%,0)</f>
        <v>4.0889655172413795E-2</v>
      </c>
      <c r="G80" s="3" t="str">
        <f>VLOOKUP(InputData[[#This Row],[PRODUCT ID]],Master[],2,0)</f>
        <v>Fiber Optic Pole</v>
      </c>
      <c r="H80" s="3" t="str">
        <f>VLOOKUP(InputData[[#This Row],[PRODUCT ID]],Master[],3,0)</f>
        <v>KPI</v>
      </c>
      <c r="I80" s="3" t="str">
        <f>TEXT(InputData[[#This Row],[MONTH]],"MMMMMM")</f>
        <v>September</v>
      </c>
      <c r="J80" s="3">
        <f>YEAR(InputData[[#This Row],[MONTH]])</f>
        <v>2023</v>
      </c>
      <c r="K80" s="14" t="str">
        <f>"SMT-"&amp;CHOOSE(MONTH(InputData[[#This Row],[MONTH]]),1,1,1,1,1,1,2,2,2,2,2,2)</f>
        <v>SMT-2</v>
      </c>
      <c r="L80" s="48">
        <v>0</v>
      </c>
    </row>
    <row r="81" spans="1:12">
      <c r="A81" s="4">
        <v>45170</v>
      </c>
      <c r="B81" s="3" t="s">
        <v>19</v>
      </c>
      <c r="C81" s="8">
        <f>'[1]Realisasi Hilirisasi'!E$252</f>
        <v>514.1254479079721</v>
      </c>
      <c r="D81" s="7">
        <f>'[1]Realisasi Hilirisasi'!F$252</f>
        <v>7450149479</v>
      </c>
      <c r="E81" s="5">
        <f>'[1]Realisasi Hilirisasi'!$H$252</f>
        <v>110097525</v>
      </c>
      <c r="F81" s="9">
        <f>IFERROR((InputData[[#This Row],[GROSS PROFIT]]/InputData[[#This Row],[REVENUE]])*100%,0)</f>
        <v>1.4777894767123236E-2</v>
      </c>
      <c r="G81" s="3" t="str">
        <f>VLOOKUP(InputData[[#This Row],[PRODUCT ID]],Master[],2,0)</f>
        <v>Baja Ringan</v>
      </c>
      <c r="H81" s="3" t="str">
        <f>VLOOKUP(InputData[[#This Row],[PRODUCT ID]],Master[],3,0)</f>
        <v>KNI</v>
      </c>
      <c r="I81" s="3" t="str">
        <f>TEXT(InputData[[#This Row],[MONTH]],"MMMMMM")</f>
        <v>September</v>
      </c>
      <c r="J81" s="3">
        <f>YEAR(InputData[[#This Row],[MONTH]])</f>
        <v>2023</v>
      </c>
      <c r="K81" s="14" t="str">
        <f>"SMT-"&amp;CHOOSE(MONTH(InputData[[#This Row],[MONTH]]),1,1,1,1,1,1,2,2,2,2,2,2)</f>
        <v>SMT-2</v>
      </c>
      <c r="L81" s="48">
        <f>'[1]Per AP#2'!$L$7</f>
        <v>522</v>
      </c>
    </row>
    <row r="82" spans="1:12">
      <c r="A82" s="4">
        <v>45170</v>
      </c>
      <c r="B82" s="3" t="s">
        <v>20</v>
      </c>
      <c r="C82" s="8">
        <f>'[1]Realisasi Hilirisasi'!E$253</f>
        <v>45.774740000000008</v>
      </c>
      <c r="D82" s="7">
        <f>'[1]Realisasi Hilirisasi'!F$253</f>
        <v>601611854.14414406</v>
      </c>
      <c r="E82" s="5">
        <f>'[1]Realisasi Hilirisasi'!$H$253</f>
        <v>39916200.106343284</v>
      </c>
      <c r="F82" s="9">
        <f>IFERROR((InputData[[#This Row],[GROSS PROFIT]]/InputData[[#This Row],[REVENUE]])*100%,0)</f>
        <v>6.6348759306161381E-2</v>
      </c>
      <c r="G82" s="3" t="str">
        <f>VLOOKUP(InputData[[#This Row],[PRODUCT ID]],Master[],2,0)</f>
        <v>CNP</v>
      </c>
      <c r="H82" s="3" t="str">
        <f>VLOOKUP(InputData[[#This Row],[PRODUCT ID]],Master[],3,0)</f>
        <v>KNI</v>
      </c>
      <c r="I82" s="3" t="str">
        <f>TEXT(InputData[[#This Row],[MONTH]],"MMMMMM")</f>
        <v>September</v>
      </c>
      <c r="J82" s="3">
        <f>YEAR(InputData[[#This Row],[MONTH]])</f>
        <v>2023</v>
      </c>
      <c r="K82" s="14" t="str">
        <f>"SMT-"&amp;CHOOSE(MONTH(InputData[[#This Row],[MONTH]]),1,1,1,1,1,1,2,2,2,2,2,2)</f>
        <v>SMT-2</v>
      </c>
      <c r="L82" s="48">
        <v>0</v>
      </c>
    </row>
    <row r="83" spans="1:12">
      <c r="A83" s="4">
        <v>45170</v>
      </c>
      <c r="B83" s="3" t="s">
        <v>23</v>
      </c>
      <c r="C83" s="8">
        <f>'[1]Realisasi Hilirisasi'!E$255</f>
        <v>34.309480000000001</v>
      </c>
      <c r="D83" s="7">
        <f>'[1]Realisasi Hilirisasi'!F$255</f>
        <v>426577144.57657659</v>
      </c>
      <c r="E83" s="5">
        <f>'[1]Realisasi Hilirisasi'!$H$255</f>
        <v>22690401.531531543</v>
      </c>
      <c r="F83" s="9">
        <f>IFERROR((InputData[[#This Row],[GROSS PROFIT]]/InputData[[#This Row],[REVENUE]])*100%,0)</f>
        <v>5.3191789152356464E-2</v>
      </c>
      <c r="G83" s="3" t="str">
        <f>VLOOKUP(InputData[[#This Row],[PRODUCT ID]],Master[],2,0)</f>
        <v>Other Product</v>
      </c>
      <c r="H83" s="3" t="str">
        <f>VLOOKUP(InputData[[#This Row],[PRODUCT ID]],Master[],3,0)</f>
        <v>KNI</v>
      </c>
      <c r="I83" s="3" t="str">
        <f>TEXT(InputData[[#This Row],[MONTH]],"MMMMMM")</f>
        <v>September</v>
      </c>
      <c r="J83" s="3">
        <f>YEAR(InputData[[#This Row],[MONTH]])</f>
        <v>2023</v>
      </c>
      <c r="K83" s="14" t="str">
        <f>"SMT-"&amp;CHOOSE(MONTH(InputData[[#This Row],[MONTH]]),1,1,1,1,1,1,2,2,2,2,2,2)</f>
        <v>SMT-2</v>
      </c>
      <c r="L83" s="48">
        <v>0</v>
      </c>
    </row>
    <row r="84" spans="1:12">
      <c r="A84" s="4">
        <v>45170</v>
      </c>
      <c r="B84" s="3" t="s">
        <v>21</v>
      </c>
      <c r="C84" s="8">
        <f>'[1]Realisasi Hilirisasi'!E260</f>
        <v>92.58</v>
      </c>
      <c r="D84" s="7">
        <f>'[1]Realisasi Hilirisasi'!F260</f>
        <v>1759020000</v>
      </c>
      <c r="E84" s="5">
        <f>'[1]Realisasi Hilirisasi'!$H$260</f>
        <v>70360800</v>
      </c>
      <c r="F84" s="9">
        <f>IFERROR((InputData[[#This Row],[GROSS PROFIT]]/InputData[[#This Row],[REVENUE]])*100%,0)</f>
        <v>0.04</v>
      </c>
      <c r="G84" s="3" t="str">
        <f>VLOOKUP(InputData[[#This Row],[PRODUCT ID]],Master[],2,0)</f>
        <v>Welded Beam</v>
      </c>
      <c r="H84" s="3" t="str">
        <f>VLOOKUP(InputData[[#This Row],[PRODUCT ID]],Master[],3,0)</f>
        <v>KPdP</v>
      </c>
      <c r="I84" s="3" t="str">
        <f>TEXT(InputData[[#This Row],[MONTH]],"MMMMMM")</f>
        <v>September</v>
      </c>
      <c r="J84" s="3">
        <f>YEAR(InputData[[#This Row],[MONTH]])</f>
        <v>2023</v>
      </c>
      <c r="K84" s="14" t="str">
        <f>"SMT-"&amp;CHOOSE(MONTH(InputData[[#This Row],[MONTH]]),1,1,1,1,1,1,2,2,2,2,2,2)</f>
        <v>SMT-2</v>
      </c>
      <c r="L84" s="48">
        <f>'[1]Per AP#2'!$L$8</f>
        <v>158</v>
      </c>
    </row>
    <row r="85" spans="1:12">
      <c r="A85" s="4">
        <v>45170</v>
      </c>
      <c r="B85" s="3" t="s">
        <v>25</v>
      </c>
      <c r="C85" s="8">
        <f>'[1]Realisasi Hilirisasi'!E261</f>
        <v>1487.0085714285713</v>
      </c>
      <c r="D85" s="7">
        <f>'[1]Realisasi Hilirisasi'!F261</f>
        <v>29384005191.219868</v>
      </c>
      <c r="E85" s="5">
        <f>'[1]Realisasi Hilirisasi'!$H$261</f>
        <v>1175360207.6487947</v>
      </c>
      <c r="F85" s="9">
        <f>IFERROR((InputData[[#This Row],[GROSS PROFIT]]/InputData[[#This Row],[REVENUE]])*100%,0)</f>
        <v>0.04</v>
      </c>
      <c r="G85" s="3" t="str">
        <f>VLOOKUP(InputData[[#This Row],[PRODUCT ID]],Master[],2,0)</f>
        <v>Custom Product</v>
      </c>
      <c r="H85" s="3" t="str">
        <f>VLOOKUP(InputData[[#This Row],[PRODUCT ID]],Master[],3,0)</f>
        <v>KPdP</v>
      </c>
      <c r="I85" s="3" t="str">
        <f>TEXT(InputData[[#This Row],[MONTH]],"MMMMMM")</f>
        <v>September</v>
      </c>
      <c r="J85" s="3">
        <f>YEAR(InputData[[#This Row],[MONTH]])</f>
        <v>2023</v>
      </c>
      <c r="K85" s="14" t="str">
        <f>"SMT-"&amp;CHOOSE(MONTH(InputData[[#This Row],[MONTH]]),1,1,1,1,1,1,2,2,2,2,2,2)</f>
        <v>SMT-2</v>
      </c>
      <c r="L85" s="48">
        <v>0</v>
      </c>
    </row>
    <row r="86" spans="1:12">
      <c r="A86" s="4">
        <v>45200</v>
      </c>
      <c r="B86" s="3" t="s">
        <v>4</v>
      </c>
      <c r="C86" s="8">
        <f>'[1]Realisasi Hilirisasi'!E$266</f>
        <v>30.077869999999997</v>
      </c>
      <c r="D86" s="7">
        <f>'[1]Realisasi Hilirisasi'!F$266</f>
        <v>676752075</v>
      </c>
      <c r="E86" s="5">
        <f>'[1]Realisasi Hilirisasi'!$H$266</f>
        <v>67675207.5</v>
      </c>
      <c r="F86" s="9">
        <f>IFERROR((InputData[[#This Row],[GROSS PROFIT]]/InputData[[#This Row],[REVENUE]])*100%,0)</f>
        <v>0.1</v>
      </c>
      <c r="G86" s="3" t="str">
        <f>VLOOKUP(InputData[[#This Row],[PRODUCT ID]],Master[],2,0)</f>
        <v>Tower</v>
      </c>
      <c r="H86" s="3" t="str">
        <f>VLOOKUP(InputData[[#This Row],[PRODUCT ID]],Master[],3,0)</f>
        <v>KBK</v>
      </c>
      <c r="I86" s="3" t="str">
        <f>TEXT(InputData[[#This Row],[MONTH]],"MMMMMM")</f>
        <v>October</v>
      </c>
      <c r="J86" s="3">
        <f>YEAR(InputData[[#This Row],[MONTH]])</f>
        <v>2023</v>
      </c>
      <c r="K86" s="14" t="str">
        <f>"SMT-"&amp;CHOOSE(MONTH(InputData[[#This Row],[MONTH]]),1,1,1,1,1,1,2,2,2,2,2,2)</f>
        <v>SMT-2</v>
      </c>
      <c r="L86" s="48">
        <f>'[1]Per AP#2'!$M$5</f>
        <v>1570</v>
      </c>
    </row>
    <row r="87" spans="1:12">
      <c r="A87" s="4">
        <v>45200</v>
      </c>
      <c r="B87" s="3" t="s">
        <v>11</v>
      </c>
      <c r="C87" s="8">
        <f>'[1]Realisasi Hilirisasi'!E268</f>
        <v>1044.07834</v>
      </c>
      <c r="D87" s="8">
        <f>'[1]Realisasi Hilirisasi'!F268</f>
        <v>2127346671.650001</v>
      </c>
      <c r="E87" s="5">
        <f>'[1]Realisasi Hilirisasi'!$H268</f>
        <v>243675080</v>
      </c>
      <c r="F87" s="9">
        <f>IFERROR((InputData[[#This Row],[GROSS PROFIT]]/InputData[[#This Row],[REVENUE]])*100%,0)</f>
        <v>0.11454413295553849</v>
      </c>
      <c r="G87" s="3" t="str">
        <f>VLOOKUP(InputData[[#This Row],[PRODUCT ID]],Master[],2,0)</f>
        <v>Steel Creative &amp; Component</v>
      </c>
      <c r="H87" s="3" t="str">
        <f>VLOOKUP(InputData[[#This Row],[PRODUCT ID]],Master[],3,0)</f>
        <v>KBK</v>
      </c>
      <c r="I87" s="3" t="str">
        <f>TEXT(InputData[[#This Row],[MONTH]],"MMMMMM")</f>
        <v>October</v>
      </c>
      <c r="J87" s="3">
        <f>YEAR(InputData[[#This Row],[MONTH]])</f>
        <v>2023</v>
      </c>
      <c r="K87" s="14" t="str">
        <f>"SMT-"&amp;CHOOSE(MONTH(InputData[[#This Row],[MONTH]]),1,1,1,1,1,1,2,2,2,2,2,2)</f>
        <v>SMT-2</v>
      </c>
      <c r="L87" s="48">
        <v>0</v>
      </c>
    </row>
    <row r="88" spans="1:12">
      <c r="A88" s="4">
        <v>45200</v>
      </c>
      <c r="B88" s="3" t="s">
        <v>24</v>
      </c>
      <c r="C88" s="8">
        <f>'[1]Realisasi Hilirisasi'!E269</f>
        <v>160.45097999999999</v>
      </c>
      <c r="D88" s="7">
        <f>'[1]Realisasi Hilirisasi'!F269</f>
        <v>1323303334</v>
      </c>
      <c r="E88" s="5">
        <f>'[1]Realisasi Hilirisasi'!$H269</f>
        <v>160450979.99999997</v>
      </c>
      <c r="F88" s="9">
        <f>IFERROR((InputData[[#This Row],[GROSS PROFIT]]/InputData[[#This Row],[REVENUE]])*100%,0)</f>
        <v>0.12125034062673945</v>
      </c>
      <c r="G88" s="3" t="str">
        <f>VLOOKUP(InputData[[#This Row],[PRODUCT ID]],Master[],2,0)</f>
        <v>Cut to Lenght</v>
      </c>
      <c r="H88" s="3" t="str">
        <f>VLOOKUP(InputData[[#This Row],[PRODUCT ID]],Master[],3,0)</f>
        <v>KBK</v>
      </c>
      <c r="I88" s="3" t="str">
        <f>TEXT(InputData[[#This Row],[MONTH]],"MMMMMM")</f>
        <v>October</v>
      </c>
      <c r="J88" s="3">
        <f>YEAR(InputData[[#This Row],[MONTH]])</f>
        <v>2023</v>
      </c>
      <c r="K88" s="14" t="str">
        <f>"SMT-"&amp;CHOOSE(MONTH(InputData[[#This Row],[MONTH]]),1,1,1,1,1,1,2,2,2,2,2,2)</f>
        <v>SMT-2</v>
      </c>
      <c r="L88" s="48">
        <v>0</v>
      </c>
    </row>
    <row r="89" spans="1:12">
      <c r="A89" s="4">
        <v>45200</v>
      </c>
      <c r="B89" s="3" t="s">
        <v>22</v>
      </c>
      <c r="C89" s="8">
        <f>'[1]Realisasi Hilirisasi'!E270</f>
        <v>57.719000000000001</v>
      </c>
      <c r="D89" s="7">
        <f>'[1]Realisasi Hilirisasi'!F270</f>
        <v>1591275000</v>
      </c>
      <c r="E89" s="5">
        <f>'[1]Realisasi Hilirisasi'!$H270</f>
        <v>127302000</v>
      </c>
      <c r="F89" s="9">
        <f>IFERROR((InputData[[#This Row],[GROSS PROFIT]]/InputData[[#This Row],[REVENUE]])*100%,0)</f>
        <v>0.08</v>
      </c>
      <c r="G89" s="3" t="str">
        <f>VLOOKUP(InputData[[#This Row],[PRODUCT ID]],Master[],2,0)</f>
        <v>Modular</v>
      </c>
      <c r="H89" s="3" t="str">
        <f>VLOOKUP(InputData[[#This Row],[PRODUCT ID]],Master[],3,0)</f>
        <v>KBK</v>
      </c>
      <c r="I89" s="3" t="str">
        <f>TEXT(InputData[[#This Row],[MONTH]],"MMMMMM")</f>
        <v>October</v>
      </c>
      <c r="J89" s="3">
        <f>YEAR(InputData[[#This Row],[MONTH]])</f>
        <v>2023</v>
      </c>
      <c r="K89" s="14" t="str">
        <f>"SMT-"&amp;CHOOSE(MONTH(InputData[[#This Row],[MONTH]]),1,1,1,1,1,1,2,2,2,2,2,2)</f>
        <v>SMT-2</v>
      </c>
      <c r="L89" s="48">
        <v>0</v>
      </c>
    </row>
    <row r="90" spans="1:12">
      <c r="A90" s="4">
        <v>45200</v>
      </c>
      <c r="B90" s="3" t="s">
        <v>14</v>
      </c>
      <c r="C90" s="8">
        <f>'[1]Realisasi Hilirisasi'!E$273</f>
        <v>667.24199999999996</v>
      </c>
      <c r="D90" s="7">
        <f>'[1]Realisasi Hilirisasi'!F$273</f>
        <v>10045995552</v>
      </c>
      <c r="E90" s="5">
        <f>'[1]Realisasi Hilirisasi'!$H$273</f>
        <v>84072492</v>
      </c>
      <c r="F90" s="9">
        <f>IFERROR((InputData[[#This Row],[GROSS PROFIT]]/InputData[[#This Row],[REVENUE]])*100%,0)</f>
        <v>8.36875664187035E-3</v>
      </c>
      <c r="G90" s="3" t="str">
        <f>VLOOKUP(InputData[[#This Row],[PRODUCT ID]],Master[],2,0)</f>
        <v>Fiber Optic Pole</v>
      </c>
      <c r="H90" s="3" t="str">
        <f>VLOOKUP(InputData[[#This Row],[PRODUCT ID]],Master[],3,0)</f>
        <v>KPI</v>
      </c>
      <c r="I90" s="3" t="str">
        <f>TEXT(InputData[[#This Row],[MONTH]],"MMMMMM")</f>
        <v>October</v>
      </c>
      <c r="J90" s="3">
        <f>YEAR(InputData[[#This Row],[MONTH]])</f>
        <v>2023</v>
      </c>
      <c r="K90" s="14" t="str">
        <f>"SMT-"&amp;CHOOSE(MONTH(InputData[[#This Row],[MONTH]]),1,1,1,1,1,1,2,2,2,2,2,2)</f>
        <v>SMT-2</v>
      </c>
      <c r="L90" s="48">
        <f>'[1]Per AP#2'!$M$6</f>
        <v>500</v>
      </c>
    </row>
    <row r="91" spans="1:12">
      <c r="A91" s="4">
        <v>45200</v>
      </c>
      <c r="B91" s="3" t="s">
        <v>17</v>
      </c>
      <c r="C91" s="8">
        <f>'[1]Realisasi Hilirisasi'!E$276</f>
        <v>46</v>
      </c>
      <c r="D91" s="7">
        <f>'[1]Realisasi Hilirisasi'!F$276</f>
        <v>1018010244</v>
      </c>
      <c r="E91" s="5">
        <f>'[1]Realisasi Hilirisasi'!$H$276</f>
        <v>169668374</v>
      </c>
      <c r="F91" s="9">
        <f>IFERROR((InputData[[#This Row],[GROSS PROFIT]]/InputData[[#This Row],[REVENUE]])*100%,0)</f>
        <v>0.16666666666666666</v>
      </c>
      <c r="G91" s="3" t="str">
        <f>VLOOKUP(InputData[[#This Row],[PRODUCT ID]],Master[],2,0)</f>
        <v>Bends Pipe</v>
      </c>
      <c r="H91" s="3" t="str">
        <f>VLOOKUP(InputData[[#This Row],[PRODUCT ID]],Master[],3,0)</f>
        <v>KPI</v>
      </c>
      <c r="I91" s="3" t="str">
        <f>TEXT(InputData[[#This Row],[MONTH]],"MMMMMM")</f>
        <v>October</v>
      </c>
      <c r="J91" s="3">
        <f>YEAR(InputData[[#This Row],[MONTH]])</f>
        <v>2023</v>
      </c>
      <c r="K91" s="14" t="str">
        <f>"SMT-"&amp;CHOOSE(MONTH(InputData[[#This Row],[MONTH]]),1,1,1,1,1,1,2,2,2,2,2,2)</f>
        <v>SMT-2</v>
      </c>
      <c r="L91" s="48">
        <v>0</v>
      </c>
    </row>
    <row r="92" spans="1:12">
      <c r="A92" s="4">
        <v>45200</v>
      </c>
      <c r="B92" s="3" t="s">
        <v>19</v>
      </c>
      <c r="C92" s="8">
        <f>'[1]Realisasi Hilirisasi'!E281</f>
        <v>515.84041830966783</v>
      </c>
      <c r="D92" s="7">
        <f>'[1]Realisasi Hilirisasi'!F281</f>
        <v>8251561760</v>
      </c>
      <c r="E92" s="5">
        <f>'[1]Realisasi Hilirisasi'!$H281</f>
        <v>121940255</v>
      </c>
      <c r="F92" s="9">
        <f>IFERROR((InputData[[#This Row],[GROSS PROFIT]]/InputData[[#This Row],[REVENUE]])*100%,0)</f>
        <v>1.477783946199295E-2</v>
      </c>
      <c r="G92" s="3" t="str">
        <f>VLOOKUP(InputData[[#This Row],[PRODUCT ID]],Master[],2,0)</f>
        <v>Baja Ringan</v>
      </c>
      <c r="H92" s="3" t="str">
        <f>VLOOKUP(InputData[[#This Row],[PRODUCT ID]],Master[],3,0)</f>
        <v>KNI</v>
      </c>
      <c r="I92" s="3" t="str">
        <f>TEXT(InputData[[#This Row],[MONTH]],"MMMMMM")</f>
        <v>October</v>
      </c>
      <c r="J92" s="3">
        <f>YEAR(InputData[[#This Row],[MONTH]])</f>
        <v>2023</v>
      </c>
      <c r="K92" s="14" t="str">
        <f>"SMT-"&amp;CHOOSE(MONTH(InputData[[#This Row],[MONTH]]),1,1,1,1,1,1,2,2,2,2,2,2)</f>
        <v>SMT-2</v>
      </c>
      <c r="L92" s="48">
        <f>'[1]Per AP#2'!$M$7</f>
        <v>522</v>
      </c>
    </row>
    <row r="93" spans="1:12">
      <c r="A93" s="4">
        <v>45200</v>
      </c>
      <c r="B93" s="3" t="s">
        <v>20</v>
      </c>
      <c r="C93" s="8">
        <f>'[1]Realisasi Hilirisasi'!E282</f>
        <v>40.009620000000005</v>
      </c>
      <c r="D93" s="7">
        <f>'[1]Realisasi Hilirisasi'!F282</f>
        <v>562353798.91891885</v>
      </c>
      <c r="E93" s="5">
        <f>'[1]Realisasi Hilirisasi'!$H282</f>
        <v>33362108.396396331</v>
      </c>
      <c r="F93" s="9">
        <f>IFERROR((InputData[[#This Row],[GROSS PROFIT]]/InputData[[#This Row],[REVENUE]])*100%,0)</f>
        <v>5.9325834484504902E-2</v>
      </c>
      <c r="G93" s="3" t="str">
        <f>VLOOKUP(InputData[[#This Row],[PRODUCT ID]],Master[],2,0)</f>
        <v>CNP</v>
      </c>
      <c r="H93" s="3" t="str">
        <f>VLOOKUP(InputData[[#This Row],[PRODUCT ID]],Master[],3,0)</f>
        <v>KNI</v>
      </c>
      <c r="I93" s="3" t="str">
        <f>TEXT(InputData[[#This Row],[MONTH]],"MMMMMM")</f>
        <v>October</v>
      </c>
      <c r="J93" s="3">
        <f>YEAR(InputData[[#This Row],[MONTH]])</f>
        <v>2023</v>
      </c>
      <c r="K93" s="14" t="str">
        <f>"SMT-"&amp;CHOOSE(MONTH(InputData[[#This Row],[MONTH]]),1,1,1,1,1,1,2,2,2,2,2,2)</f>
        <v>SMT-2</v>
      </c>
      <c r="L93" s="48">
        <v>0</v>
      </c>
    </row>
    <row r="94" spans="1:12">
      <c r="A94" s="4">
        <v>45200</v>
      </c>
      <c r="B94" s="3" t="s">
        <v>23</v>
      </c>
      <c r="C94" s="8">
        <f>'[1]Realisasi Hilirisasi'!E$284</f>
        <v>15.6409</v>
      </c>
      <c r="D94" s="7">
        <f>'[1]Realisasi Hilirisasi'!F$284</f>
        <v>170538212</v>
      </c>
      <c r="E94" s="5">
        <f>'[1]Realisasi Hilirisasi'!$H$284</f>
        <v>12704752.063063085</v>
      </c>
      <c r="F94" s="9">
        <f>IFERROR((InputData[[#This Row],[GROSS PROFIT]]/InputData[[#This Row],[REVENUE]])*100%,0)</f>
        <v>7.4497978570709333E-2</v>
      </c>
      <c r="G94" s="3" t="str">
        <f>VLOOKUP(InputData[[#This Row],[PRODUCT ID]],Master[],2,0)</f>
        <v>Other Product</v>
      </c>
      <c r="H94" s="3" t="str">
        <f>VLOOKUP(InputData[[#This Row],[PRODUCT ID]],Master[],3,0)</f>
        <v>KNI</v>
      </c>
      <c r="I94" s="3" t="str">
        <f>TEXT(InputData[[#This Row],[MONTH]],"MMMMMM")</f>
        <v>October</v>
      </c>
      <c r="J94" s="3">
        <f>YEAR(InputData[[#This Row],[MONTH]])</f>
        <v>2023</v>
      </c>
      <c r="K94" s="14" t="str">
        <f>"SMT-"&amp;CHOOSE(MONTH(InputData[[#This Row],[MONTH]]),1,1,1,1,1,1,2,2,2,2,2,2)</f>
        <v>SMT-2</v>
      </c>
      <c r="L94" s="48">
        <v>0</v>
      </c>
    </row>
    <row r="95" spans="1:12">
      <c r="A95" s="4">
        <v>45200</v>
      </c>
      <c r="B95" s="3" t="s">
        <v>21</v>
      </c>
      <c r="C95" s="8">
        <f>'[1]Realisasi Hilirisasi'!E$289</f>
        <v>92.58</v>
      </c>
      <c r="D95" s="7">
        <f>'[1]Realisasi Hilirisasi'!F$289</f>
        <v>1759020000</v>
      </c>
      <c r="E95" s="5">
        <f>'[1]Realisasi Hilirisasi'!$H$289</f>
        <v>70360800</v>
      </c>
      <c r="F95" s="9">
        <f>IFERROR((InputData[[#This Row],[GROSS PROFIT]]/InputData[[#This Row],[REVENUE]])*100%,0)</f>
        <v>0.04</v>
      </c>
      <c r="G95" s="3" t="str">
        <f>VLOOKUP(InputData[[#This Row],[PRODUCT ID]],Master[],2,0)</f>
        <v>Welded Beam</v>
      </c>
      <c r="H95" s="3" t="str">
        <f>VLOOKUP(InputData[[#This Row],[PRODUCT ID]],Master[],3,0)</f>
        <v>KPdP</v>
      </c>
      <c r="I95" s="3" t="str">
        <f>TEXT(InputData[[#This Row],[MONTH]],"MMMMMM")</f>
        <v>October</v>
      </c>
      <c r="J95" s="3">
        <f>YEAR(InputData[[#This Row],[MONTH]])</f>
        <v>2023</v>
      </c>
      <c r="K95" s="14" t="str">
        <f>"SMT-"&amp;CHOOSE(MONTH(InputData[[#This Row],[MONTH]]),1,1,1,1,1,1,2,2,2,2,2,2)</f>
        <v>SMT-2</v>
      </c>
      <c r="L95" s="48">
        <f>'[1]Per AP#2'!$M$8</f>
        <v>158</v>
      </c>
    </row>
    <row r="96" spans="1:12">
      <c r="A96" s="4">
        <v>45231</v>
      </c>
      <c r="B96" s="3" t="s">
        <v>4</v>
      </c>
      <c r="C96" s="8">
        <f>'[1]Realisasi Hilirisasi'!E296</f>
        <v>14.094889999999999</v>
      </c>
      <c r="D96" s="7">
        <f>'[1]Realisasi Hilirisasi'!F296</f>
        <v>324271575</v>
      </c>
      <c r="E96" s="5">
        <f>'[1]Realisasi Hilirisasi'!$H296</f>
        <v>16213578.75</v>
      </c>
      <c r="F96" s="9">
        <f>IFERROR((InputData[[#This Row],[GROSS PROFIT]]/InputData[[#This Row],[REVENUE]])*100%,0)</f>
        <v>0.05</v>
      </c>
      <c r="G96" s="3" t="str">
        <f>VLOOKUP(InputData[[#This Row],[PRODUCT ID]],Master[],2,0)</f>
        <v>Tower</v>
      </c>
      <c r="H96" s="3" t="str">
        <f>VLOOKUP(InputData[[#This Row],[PRODUCT ID]],Master[],3,0)</f>
        <v>KBK</v>
      </c>
      <c r="I96" s="3" t="str">
        <f>TEXT(InputData[[#This Row],[MONTH]],"MMMMMM")</f>
        <v>November</v>
      </c>
      <c r="J96" s="3">
        <f>YEAR(InputData[[#This Row],[MONTH]])</f>
        <v>2023</v>
      </c>
      <c r="K96" s="14" t="str">
        <f>"SMT-"&amp;CHOOSE(MONTH(InputData[[#This Row],[MONTH]]),1,1,1,1,1,1,2,2,2,2,2,2)</f>
        <v>SMT-2</v>
      </c>
      <c r="L96" s="48">
        <f>'[1]Per AP#2'!$N$5</f>
        <v>1600.42</v>
      </c>
    </row>
    <row r="97" spans="1:12">
      <c r="A97" s="4">
        <v>45231</v>
      </c>
      <c r="B97" s="3" t="s">
        <v>9</v>
      </c>
      <c r="C97" s="8">
        <f>'[1]Realisasi Hilirisasi'!E297</f>
        <v>83.296938310344814</v>
      </c>
      <c r="D97" s="7">
        <f>'[1]Realisasi Hilirisasi'!F297</f>
        <v>2296866061</v>
      </c>
      <c r="E97" s="5">
        <f>'[1]Realisasi Hilirisasi'!$H297</f>
        <v>114843303.05000001</v>
      </c>
      <c r="F97" s="9">
        <f>IFERROR((InputData[[#This Row],[GROSS PROFIT]]/InputData[[#This Row],[REVENUE]])*100%,0)</f>
        <v>0.05</v>
      </c>
      <c r="G97" s="3" t="str">
        <f>VLOOKUP(InputData[[#This Row],[PRODUCT ID]],Master[],2,0)</f>
        <v>Steel Structure</v>
      </c>
      <c r="H97" s="3" t="str">
        <f>VLOOKUP(InputData[[#This Row],[PRODUCT ID]],Master[],3,0)</f>
        <v>KBK</v>
      </c>
      <c r="I97" s="3" t="str">
        <f>TEXT(InputData[[#This Row],[MONTH]],"MMMMMM")</f>
        <v>November</v>
      </c>
      <c r="J97" s="3">
        <f>YEAR(InputData[[#This Row],[MONTH]])</f>
        <v>2023</v>
      </c>
      <c r="K97" s="14" t="str">
        <f>"SMT-"&amp;CHOOSE(MONTH(InputData[[#This Row],[MONTH]]),1,1,1,1,1,1,2,2,2,2,2,2)</f>
        <v>SMT-2</v>
      </c>
      <c r="L97" s="48">
        <v>0</v>
      </c>
    </row>
    <row r="98" spans="1:12">
      <c r="A98" s="4">
        <v>45231</v>
      </c>
      <c r="B98" s="3" t="s">
        <v>11</v>
      </c>
      <c r="C98" s="8">
        <f>'[1]Realisasi Hilirisasi'!E298</f>
        <v>990.4454958419243</v>
      </c>
      <c r="D98" s="7">
        <f>'[1]Realisasi Hilirisasi'!F298</f>
        <v>6427112935.1999998</v>
      </c>
      <c r="E98" s="5">
        <f>'[1]Realisasi Hilirisasi'!$H298</f>
        <v>321355646.75999999</v>
      </c>
      <c r="F98" s="9">
        <f>IFERROR((InputData[[#This Row],[GROSS PROFIT]]/InputData[[#This Row],[REVENUE]])*100%,0)</f>
        <v>0.05</v>
      </c>
      <c r="G98" s="3" t="str">
        <f>VLOOKUP(InputData[[#This Row],[PRODUCT ID]],Master[],2,0)</f>
        <v>Steel Creative &amp; Component</v>
      </c>
      <c r="H98" s="3" t="str">
        <f>VLOOKUP(InputData[[#This Row],[PRODUCT ID]],Master[],3,0)</f>
        <v>KBK</v>
      </c>
      <c r="I98" s="3" t="str">
        <f>TEXT(InputData[[#This Row],[MONTH]],"MMMMMM")</f>
        <v>November</v>
      </c>
      <c r="J98" s="3">
        <f>YEAR(InputData[[#This Row],[MONTH]])</f>
        <v>2023</v>
      </c>
      <c r="K98" s="14" t="str">
        <f>"SMT-"&amp;CHOOSE(MONTH(InputData[[#This Row],[MONTH]]),1,1,1,1,1,1,2,2,2,2,2,2)</f>
        <v>SMT-2</v>
      </c>
      <c r="L98" s="48">
        <v>0</v>
      </c>
    </row>
    <row r="99" spans="1:12">
      <c r="A99" s="4">
        <v>45231</v>
      </c>
      <c r="B99" s="3" t="s">
        <v>24</v>
      </c>
      <c r="C99" s="8">
        <f>'[1]Realisasi Hilirisasi'!E299</f>
        <v>99.936999999999998</v>
      </c>
      <c r="D99" s="7">
        <f>'[1]Realisasi Hilirisasi'!F299</f>
        <v>826596880</v>
      </c>
      <c r="E99" s="5">
        <f>'[1]Realisasi Hilirisasi'!$H299</f>
        <v>41329844</v>
      </c>
      <c r="F99" s="9">
        <f>IFERROR((InputData[[#This Row],[GROSS PROFIT]]/InputData[[#This Row],[REVENUE]])*100%,0)</f>
        <v>0.05</v>
      </c>
      <c r="G99" s="3" t="str">
        <f>VLOOKUP(InputData[[#This Row],[PRODUCT ID]],Master[],2,0)</f>
        <v>Cut to Lenght</v>
      </c>
      <c r="H99" s="3" t="str">
        <f>VLOOKUP(InputData[[#This Row],[PRODUCT ID]],Master[],3,0)</f>
        <v>KBK</v>
      </c>
      <c r="I99" s="3" t="str">
        <f>TEXT(InputData[[#This Row],[MONTH]],"MMMMMM")</f>
        <v>November</v>
      </c>
      <c r="J99" s="3">
        <f>YEAR(InputData[[#This Row],[MONTH]])</f>
        <v>2023</v>
      </c>
      <c r="K99" s="14" t="str">
        <f>"SMT-"&amp;CHOOSE(MONTH(InputData[[#This Row],[MONTH]]),1,1,1,1,1,1,2,2,2,2,2,2)</f>
        <v>SMT-2</v>
      </c>
      <c r="L99" s="48">
        <v>0</v>
      </c>
    </row>
    <row r="100" spans="1:12">
      <c r="A100" s="4">
        <v>45231</v>
      </c>
      <c r="B100" s="3" t="s">
        <v>22</v>
      </c>
      <c r="C100" s="8">
        <f>'[1]Realisasi Hilirisasi'!E300</f>
        <v>16.645</v>
      </c>
      <c r="D100" s="7">
        <f>'[1]Realisasi Hilirisasi'!F300</f>
        <v>649999900.20000005</v>
      </c>
      <c r="E100" s="5">
        <f>'[1]Realisasi Hilirisasi'!$H300</f>
        <v>32499995.010000005</v>
      </c>
      <c r="F100" s="9">
        <f>IFERROR((InputData[[#This Row],[GROSS PROFIT]]/InputData[[#This Row],[REVENUE]])*100%,0)</f>
        <v>0.05</v>
      </c>
      <c r="G100" s="3" t="str">
        <f>VLOOKUP(InputData[[#This Row],[PRODUCT ID]],Master[],2,0)</f>
        <v>Modular</v>
      </c>
      <c r="H100" s="3" t="str">
        <f>VLOOKUP(InputData[[#This Row],[PRODUCT ID]],Master[],3,0)</f>
        <v>KBK</v>
      </c>
      <c r="I100" s="3" t="str">
        <f>TEXT(InputData[[#This Row],[MONTH]],"MMMMMM")</f>
        <v>November</v>
      </c>
      <c r="J100" s="3">
        <f>YEAR(InputData[[#This Row],[MONTH]])</f>
        <v>2023</v>
      </c>
      <c r="K100" s="14" t="str">
        <f>"SMT-"&amp;CHOOSE(MONTH(InputData[[#This Row],[MONTH]]),1,1,1,1,1,1,2,2,2,2,2,2)</f>
        <v>SMT-2</v>
      </c>
      <c r="L100" s="48">
        <v>0</v>
      </c>
    </row>
    <row r="101" spans="1:12">
      <c r="A101" s="4">
        <v>45231</v>
      </c>
      <c r="B101" s="3" t="s">
        <v>12</v>
      </c>
      <c r="C101" s="8">
        <f>'[1]Realisasi Hilirisasi'!E303</f>
        <v>1661.5340000000001</v>
      </c>
      <c r="D101" s="7">
        <f>'[1]Realisasi Hilirisasi'!F303</f>
        <v>25876909754</v>
      </c>
      <c r="E101" s="5">
        <f>'[1]Realisasi Hilirisasi'!$H303</f>
        <v>537493249</v>
      </c>
      <c r="F101" s="9">
        <f>IFERROR((InputData[[#This Row],[GROSS PROFIT]]/InputData[[#This Row],[REVENUE]])*100%,0)</f>
        <v>2.07711528969148E-2</v>
      </c>
      <c r="G101" s="3" t="str">
        <f>VLOOKUP(InputData[[#This Row],[PRODUCT ID]],Master[],2,0)</f>
        <v>Electric Pole</v>
      </c>
      <c r="H101" s="3" t="str">
        <f>VLOOKUP(InputData[[#This Row],[PRODUCT ID]],Master[],3,0)</f>
        <v>KPI</v>
      </c>
      <c r="I101" s="3" t="str">
        <f>TEXT(InputData[[#This Row],[MONTH]],"MMMMMM")</f>
        <v>November</v>
      </c>
      <c r="J101" s="3">
        <f>YEAR(InputData[[#This Row],[MONTH]])</f>
        <v>2023</v>
      </c>
      <c r="K101" s="14" t="str">
        <f>"SMT-"&amp;CHOOSE(MONTH(InputData[[#This Row],[MONTH]]),1,1,1,1,1,1,2,2,2,2,2,2)</f>
        <v>SMT-2</v>
      </c>
      <c r="L101" s="48">
        <f>'[1]Per AP#2'!$N$6</f>
        <v>500</v>
      </c>
    </row>
    <row r="102" spans="1:12">
      <c r="A102" s="4">
        <v>45231</v>
      </c>
      <c r="B102" s="3" t="s">
        <v>14</v>
      </c>
      <c r="C102" s="8">
        <f>'[1]Realisasi Hilirisasi'!E304</f>
        <v>38.5</v>
      </c>
      <c r="D102" s="7">
        <f>'[1]Realisasi Hilirisasi'!F304</f>
        <v>725000000</v>
      </c>
      <c r="E102" s="5">
        <f>'[1]Realisasi Hilirisasi'!$H304</f>
        <v>29645000</v>
      </c>
      <c r="F102" s="9">
        <f>IFERROR((InputData[[#This Row],[GROSS PROFIT]]/InputData[[#This Row],[REVENUE]])*100%,0)</f>
        <v>4.0889655172413795E-2</v>
      </c>
      <c r="G102" s="3" t="str">
        <f>VLOOKUP(InputData[[#This Row],[PRODUCT ID]],Master[],2,0)</f>
        <v>Fiber Optic Pole</v>
      </c>
      <c r="H102" s="3" t="str">
        <f>VLOOKUP(InputData[[#This Row],[PRODUCT ID]],Master[],3,0)</f>
        <v>KPI</v>
      </c>
      <c r="I102" s="3" t="str">
        <f>TEXT(InputData[[#This Row],[MONTH]],"MMMMMM")</f>
        <v>November</v>
      </c>
      <c r="J102" s="3">
        <f>YEAR(InputData[[#This Row],[MONTH]])</f>
        <v>2023</v>
      </c>
      <c r="K102" s="14" t="str">
        <f>"SMT-"&amp;CHOOSE(MONTH(InputData[[#This Row],[MONTH]]),1,1,1,1,1,1,2,2,2,2,2,2)</f>
        <v>SMT-2</v>
      </c>
      <c r="L102" s="48">
        <v>0</v>
      </c>
    </row>
    <row r="103" spans="1:12">
      <c r="A103" s="4">
        <v>45231</v>
      </c>
      <c r="B103" s="3" t="s">
        <v>19</v>
      </c>
      <c r="C103" s="8">
        <f>'[1]Realisasi Hilirisasi'!E311</f>
        <v>551.0701478794889</v>
      </c>
      <c r="D103" s="7">
        <f>'[1]Realisasi Hilirisasi'!F311</f>
        <v>9685008368</v>
      </c>
      <c r="E103" s="5">
        <f>'[1]Realisasi Hilirisasi'!$H311</f>
        <v>143026050</v>
      </c>
      <c r="F103" s="9">
        <f>IFERROR((InputData[[#This Row],[GROSS PROFIT]]/InputData[[#This Row],[REVENUE]])*100%,0)</f>
        <v>1.4767777637918093E-2</v>
      </c>
      <c r="G103" s="3" t="str">
        <f>VLOOKUP(InputData[[#This Row],[PRODUCT ID]],Master[],2,0)</f>
        <v>Baja Ringan</v>
      </c>
      <c r="H103" s="3" t="str">
        <f>VLOOKUP(InputData[[#This Row],[PRODUCT ID]],Master[],3,0)</f>
        <v>KNI</v>
      </c>
      <c r="I103" s="3" t="str">
        <f>TEXT(InputData[[#This Row],[MONTH]],"MMMMMM")</f>
        <v>November</v>
      </c>
      <c r="J103" s="3">
        <f>YEAR(InputData[[#This Row],[MONTH]])</f>
        <v>2023</v>
      </c>
      <c r="K103" s="14" t="str">
        <f>"SMT-"&amp;CHOOSE(MONTH(InputData[[#This Row],[MONTH]]),1,1,1,1,1,1,2,2,2,2,2,2)</f>
        <v>SMT-2</v>
      </c>
      <c r="L103" s="48">
        <f>'[1]Per AP#2'!$N$7</f>
        <v>492</v>
      </c>
    </row>
    <row r="104" spans="1:12">
      <c r="A104" s="4">
        <v>45231</v>
      </c>
      <c r="B104" s="3" t="s">
        <v>20</v>
      </c>
      <c r="C104" s="8">
        <f>'[1]Realisasi Hilirisasi'!E312</f>
        <v>0.32471999999999995</v>
      </c>
      <c r="D104" s="7">
        <f>'[1]Realisasi Hilirisasi'!F312</f>
        <v>6335784</v>
      </c>
      <c r="E104" s="5">
        <f>'[1]Realisasi Hilirisasi'!$H312</f>
        <v>1268216</v>
      </c>
      <c r="F104" s="9">
        <f>IFERROR((InputData[[#This Row],[GROSS PROFIT]]/InputData[[#This Row],[REVENUE]])*100%,0)</f>
        <v>0.20016717741640183</v>
      </c>
      <c r="G104" s="3" t="str">
        <f>VLOOKUP(InputData[[#This Row],[PRODUCT ID]],Master[],2,0)</f>
        <v>CNP</v>
      </c>
      <c r="H104" s="3" t="str">
        <f>VLOOKUP(InputData[[#This Row],[PRODUCT ID]],Master[],3,0)</f>
        <v>KNI</v>
      </c>
      <c r="I104" s="3" t="str">
        <f>TEXT(InputData[[#This Row],[MONTH]],"MMMMMM")</f>
        <v>November</v>
      </c>
      <c r="J104" s="3">
        <f>YEAR(InputData[[#This Row],[MONTH]])</f>
        <v>2023</v>
      </c>
      <c r="K104" s="14" t="str">
        <f>"SMT-"&amp;CHOOSE(MONTH(InputData[[#This Row],[MONTH]]),1,1,1,1,1,1,2,2,2,2,2,2)</f>
        <v>SMT-2</v>
      </c>
      <c r="L104" s="48">
        <v>0</v>
      </c>
    </row>
    <row r="105" spans="1:12">
      <c r="A105" s="4">
        <v>45231</v>
      </c>
      <c r="B105" s="3" t="s">
        <v>23</v>
      </c>
      <c r="C105" s="8">
        <f>'[1]Realisasi Hilirisasi'!E$314</f>
        <v>95.913719999999998</v>
      </c>
      <c r="D105" s="7">
        <f>'[1]Realisasi Hilirisasi'!F$314</f>
        <v>1223201807</v>
      </c>
      <c r="E105" s="5">
        <f>'[1]Realisasi Hilirisasi'!$H$314</f>
        <v>63037821</v>
      </c>
      <c r="F105" s="9">
        <f>IFERROR((InputData[[#This Row],[GROSS PROFIT]]/InputData[[#This Row],[REVENUE]])*100%,0)</f>
        <v>5.1535094731919411E-2</v>
      </c>
      <c r="G105" s="3" t="str">
        <f>VLOOKUP(InputData[[#This Row],[PRODUCT ID]],Master[],2,0)</f>
        <v>Other Product</v>
      </c>
      <c r="H105" s="3" t="str">
        <f>VLOOKUP(InputData[[#This Row],[PRODUCT ID]],Master[],3,0)</f>
        <v>KNI</v>
      </c>
      <c r="I105" s="3" t="str">
        <f>TEXT(InputData[[#This Row],[MONTH]],"MMMMMM")</f>
        <v>November</v>
      </c>
      <c r="J105" s="3">
        <f>YEAR(InputData[[#This Row],[MONTH]])</f>
        <v>2023</v>
      </c>
      <c r="K105" s="14" t="str">
        <f>"SMT-"&amp;CHOOSE(MONTH(InputData[[#This Row],[MONTH]]),1,1,1,1,1,1,2,2,2,2,2,2)</f>
        <v>SMT-2</v>
      </c>
      <c r="L105" s="48">
        <v>0</v>
      </c>
    </row>
    <row r="106" spans="1:12">
      <c r="A106" s="4">
        <v>45231</v>
      </c>
      <c r="B106" s="3" t="s">
        <v>21</v>
      </c>
      <c r="C106" s="8">
        <f>'[1]Realisasi Hilirisasi'!E$319</f>
        <v>92.58</v>
      </c>
      <c r="D106" s="8">
        <f>'[1]Realisasi Hilirisasi'!F$319</f>
        <v>1759020000</v>
      </c>
      <c r="E106" s="5">
        <f>'[1]Realisasi Hilirisasi'!$H$319</f>
        <v>70360800</v>
      </c>
      <c r="F106" s="9">
        <f>IFERROR((InputData[[#This Row],[GROSS PROFIT]]/InputData[[#This Row],[REVENUE]])*100%,0)</f>
        <v>0.04</v>
      </c>
      <c r="G106" s="3" t="str">
        <f>VLOOKUP(InputData[[#This Row],[PRODUCT ID]],Master[],2,0)</f>
        <v>Welded Beam</v>
      </c>
      <c r="H106" s="3" t="str">
        <f>VLOOKUP(InputData[[#This Row],[PRODUCT ID]],Master[],3,0)</f>
        <v>KPdP</v>
      </c>
      <c r="I106" s="3" t="str">
        <f>TEXT(InputData[[#This Row],[MONTH]],"MMMMMM")</f>
        <v>November</v>
      </c>
      <c r="J106" s="3">
        <f>YEAR(InputData[[#This Row],[MONTH]])</f>
        <v>2023</v>
      </c>
      <c r="K106" s="14" t="str">
        <f>"SMT-"&amp;CHOOSE(MONTH(InputData[[#This Row],[MONTH]]),1,1,1,1,1,1,2,2,2,2,2,2)</f>
        <v>SMT-2</v>
      </c>
      <c r="L106" s="48">
        <f>'[1]Per AP#2'!$N$8</f>
        <v>157.58000000000001</v>
      </c>
    </row>
    <row r="107" spans="1:12">
      <c r="A107" s="4">
        <v>45261</v>
      </c>
      <c r="B107" s="3" t="s">
        <v>4</v>
      </c>
      <c r="C107" s="8">
        <f>'[1]Realisasi Hilirisasi'!E326</f>
        <v>40.568799999999996</v>
      </c>
      <c r="D107" s="7">
        <f>'[1]Realisasi Hilirisasi'!F326</f>
        <v>912798000</v>
      </c>
      <c r="E107" s="5">
        <f>'[1]Realisasi Hilirisasi'!$H326</f>
        <v>81137599.999999985</v>
      </c>
      <c r="F107" s="9">
        <f>IFERROR((InputData[[#This Row],[GROSS PROFIT]]/InputData[[#This Row],[REVENUE]])*100%,0)</f>
        <v>8.8888888888888878E-2</v>
      </c>
      <c r="G107" s="3" t="str">
        <f>VLOOKUP(InputData[[#This Row],[PRODUCT ID]],Master[],2,0)</f>
        <v>Tower</v>
      </c>
      <c r="H107" s="3" t="str">
        <f>VLOOKUP(InputData[[#This Row],[PRODUCT ID]],Master[],3,0)</f>
        <v>KBK</v>
      </c>
      <c r="I107" s="3" t="str">
        <f>TEXT(InputData[[#This Row],[MONTH]],"MMMMMM")</f>
        <v>December</v>
      </c>
      <c r="J107" s="3">
        <f>YEAR(InputData[[#This Row],[MONTH]])</f>
        <v>2023</v>
      </c>
      <c r="K107" s="14" t="str">
        <f>"SMT-"&amp;CHOOSE(MONTH(InputData[[#This Row],[MONTH]]),1,1,1,1,1,1,2,2,2,2,2,2)</f>
        <v>SMT-2</v>
      </c>
      <c r="L107" s="48">
        <f>'[1]Per AP#2'!$O$5</f>
        <v>1666.42</v>
      </c>
    </row>
    <row r="108" spans="1:12">
      <c r="A108" s="4">
        <v>45261</v>
      </c>
      <c r="B108" s="3" t="s">
        <v>9</v>
      </c>
      <c r="C108" s="8">
        <f>'[1]Realisasi Hilirisasi'!E327</f>
        <v>105.96497575862068</v>
      </c>
      <c r="D108" s="7">
        <f>'[1]Realisasi Hilirisasi'!F327</f>
        <v>2986076694.7799997</v>
      </c>
      <c r="E108" s="5">
        <f>'[1]Realisasi Hilirisasi'!$H327</f>
        <v>211929951.51724136</v>
      </c>
      <c r="F108" s="9">
        <f>IFERROR((InputData[[#This Row],[GROSS PROFIT]]/InputData[[#This Row],[REVENUE]])*100%,0)</f>
        <v>7.0972708734413595E-2</v>
      </c>
      <c r="G108" s="3" t="str">
        <f>VLOOKUP(InputData[[#This Row],[PRODUCT ID]],Master[],2,0)</f>
        <v>Steel Structure</v>
      </c>
      <c r="H108" s="3" t="str">
        <f>VLOOKUP(InputData[[#This Row],[PRODUCT ID]],Master[],3,0)</f>
        <v>KBK</v>
      </c>
      <c r="I108" s="3" t="str">
        <f>TEXT(InputData[[#This Row],[MONTH]],"MMMMMM")</f>
        <v>December</v>
      </c>
      <c r="J108" s="3">
        <f>YEAR(InputData[[#This Row],[MONTH]])</f>
        <v>2023</v>
      </c>
      <c r="K108" s="14" t="str">
        <f>"SMT-"&amp;CHOOSE(MONTH(InputData[[#This Row],[MONTH]]),1,1,1,1,1,1,2,2,2,2,2,2)</f>
        <v>SMT-2</v>
      </c>
      <c r="L108" s="48">
        <v>0</v>
      </c>
    </row>
    <row r="109" spans="1:12">
      <c r="A109" s="4">
        <v>45261</v>
      </c>
      <c r="B109" s="3" t="s">
        <v>11</v>
      </c>
      <c r="C109" s="8">
        <f>'[1]Realisasi Hilirisasi'!E328</f>
        <v>720.80480965517245</v>
      </c>
      <c r="D109" s="7">
        <f>'[1]Realisasi Hilirisasi'!F328</f>
        <v>3046398463.1999998</v>
      </c>
      <c r="E109" s="5">
        <f>'[1]Realisasi Hilirisasi'!$H328</f>
        <v>12071183.051724151</v>
      </c>
      <c r="F109" s="9">
        <f>IFERROR((InputData[[#This Row],[GROSS PROFIT]]/InputData[[#This Row],[REVENUE]])*100%,0)</f>
        <v>3.9624439145246717E-3</v>
      </c>
      <c r="G109" s="3" t="str">
        <f>VLOOKUP(InputData[[#This Row],[PRODUCT ID]],Master[],2,0)</f>
        <v>Steel Creative &amp; Component</v>
      </c>
      <c r="H109" s="3" t="str">
        <f>VLOOKUP(InputData[[#This Row],[PRODUCT ID]],Master[],3,0)</f>
        <v>KBK</v>
      </c>
      <c r="I109" s="3" t="str">
        <f>TEXT(InputData[[#This Row],[MONTH]],"MMMMMM")</f>
        <v>December</v>
      </c>
      <c r="J109" s="3">
        <f>YEAR(InputData[[#This Row],[MONTH]])</f>
        <v>2023</v>
      </c>
      <c r="K109" s="14" t="str">
        <f>"SMT-"&amp;CHOOSE(MONTH(InputData[[#This Row],[MONTH]]),1,1,1,1,1,1,2,2,2,2,2,2)</f>
        <v>SMT-2</v>
      </c>
      <c r="L109" s="48">
        <v>0</v>
      </c>
    </row>
    <row r="110" spans="1:12">
      <c r="A110" s="4">
        <v>45261</v>
      </c>
      <c r="B110" s="3" t="s">
        <v>12</v>
      </c>
      <c r="C110" s="8">
        <f>'[1]Realisasi Hilirisasi'!E333</f>
        <v>125.092</v>
      </c>
      <c r="D110" s="7">
        <f>'[1]Realisasi Hilirisasi'!F333</f>
        <v>1965737708</v>
      </c>
      <c r="E110" s="5">
        <f>'[1]Realisasi Hilirisasi'!$H333</f>
        <v>57476848</v>
      </c>
      <c r="F110" s="9">
        <f>IFERROR((InputData[[#This Row],[GROSS PROFIT]]/InputData[[#This Row],[REVENUE]])*100%,0)</f>
        <v>2.923932718291224E-2</v>
      </c>
      <c r="G110" s="3" t="str">
        <f>VLOOKUP(InputData[[#This Row],[PRODUCT ID]],Master[],2,0)</f>
        <v>Electric Pole</v>
      </c>
      <c r="H110" s="3" t="str">
        <f>VLOOKUP(InputData[[#This Row],[PRODUCT ID]],Master[],3,0)</f>
        <v>KPI</v>
      </c>
      <c r="I110" s="3" t="str">
        <f>TEXT(InputData[[#This Row],[MONTH]],"MMMMMM")</f>
        <v>December</v>
      </c>
      <c r="J110" s="3">
        <f>YEAR(InputData[[#This Row],[MONTH]])</f>
        <v>2023</v>
      </c>
      <c r="K110" s="14" t="str">
        <f>"SMT-"&amp;CHOOSE(MONTH(InputData[[#This Row],[MONTH]]),1,1,1,1,1,1,2,2,2,2,2,2)</f>
        <v>SMT-2</v>
      </c>
      <c r="L110" s="48">
        <f>'[1]Per AP#2'!$O$6</f>
        <v>500</v>
      </c>
    </row>
    <row r="111" spans="1:12">
      <c r="A111" s="4">
        <v>45261</v>
      </c>
      <c r="B111" s="3" t="s">
        <v>14</v>
      </c>
      <c r="C111" s="8">
        <f>'[1]Realisasi Hilirisasi'!E334</f>
        <v>23.1</v>
      </c>
      <c r="D111" s="7">
        <f>'[1]Realisasi Hilirisasi'!F334</f>
        <v>375000000</v>
      </c>
      <c r="E111" s="5">
        <f>'[1]Realisasi Hilirisasi'!$H334</f>
        <v>11250000</v>
      </c>
      <c r="F111" s="9">
        <f>IFERROR((InputData[[#This Row],[GROSS PROFIT]]/InputData[[#This Row],[REVENUE]])*100%,0)</f>
        <v>0.03</v>
      </c>
      <c r="G111" s="3" t="str">
        <f>VLOOKUP(InputData[[#This Row],[PRODUCT ID]],Master[],2,0)</f>
        <v>Fiber Optic Pole</v>
      </c>
      <c r="H111" s="3" t="str">
        <f>VLOOKUP(InputData[[#This Row],[PRODUCT ID]],Master[],3,0)</f>
        <v>KPI</v>
      </c>
      <c r="I111" s="3" t="str">
        <f>TEXT(InputData[[#This Row],[MONTH]],"MMMMMM")</f>
        <v>December</v>
      </c>
      <c r="J111" s="3">
        <f>YEAR(InputData[[#This Row],[MONTH]])</f>
        <v>2023</v>
      </c>
      <c r="K111" s="14" t="str">
        <f>"SMT-"&amp;CHOOSE(MONTH(InputData[[#This Row],[MONTH]]),1,1,1,1,1,1,2,2,2,2,2,2)</f>
        <v>SMT-2</v>
      </c>
      <c r="L111" s="48">
        <v>0</v>
      </c>
    </row>
    <row r="112" spans="1:12">
      <c r="A112" s="4">
        <v>45261</v>
      </c>
      <c r="B112" s="3" t="s">
        <v>17</v>
      </c>
      <c r="C112" s="8">
        <f>'[1]Realisasi Hilirisasi'!E$336</f>
        <v>14</v>
      </c>
      <c r="D112" s="7">
        <f>'[1]Realisasi Hilirisasi'!F$336</f>
        <v>2484963000</v>
      </c>
      <c r="E112" s="5">
        <f>'[1]Realisasi Hilirisasi'!$H$336</f>
        <v>333907000</v>
      </c>
      <c r="F112" s="9">
        <f>IFERROR((InputData[[#This Row],[GROSS PROFIT]]/InputData[[#This Row],[REVENUE]])*100%,0)</f>
        <v>0.13437101477969693</v>
      </c>
      <c r="G112" s="3" t="str">
        <f>VLOOKUP(InputData[[#This Row],[PRODUCT ID]],Master[],2,0)</f>
        <v>Bends Pipe</v>
      </c>
      <c r="H112" s="3" t="str">
        <f>VLOOKUP(InputData[[#This Row],[PRODUCT ID]],Master[],3,0)</f>
        <v>KPI</v>
      </c>
      <c r="I112" s="3" t="str">
        <f>TEXT(InputData[[#This Row],[MONTH]],"MMMMMM")</f>
        <v>December</v>
      </c>
      <c r="J112" s="3">
        <f>YEAR(InputData[[#This Row],[MONTH]])</f>
        <v>2023</v>
      </c>
      <c r="K112" s="14" t="str">
        <f>"SMT-"&amp;CHOOSE(MONTH(InputData[[#This Row],[MONTH]]),1,1,1,1,1,1,2,2,2,2,2,2)</f>
        <v>SMT-2</v>
      </c>
      <c r="L112" s="48">
        <v>0</v>
      </c>
    </row>
    <row r="113" spans="1:12">
      <c r="A113" s="4">
        <v>45261</v>
      </c>
      <c r="B113" s="3" t="s">
        <v>19</v>
      </c>
      <c r="C113" s="8">
        <f>'[1]Realisasi Hilirisasi'!E341</f>
        <v>486.86953429781335</v>
      </c>
      <c r="D113" s="7">
        <f>'[1]Realisasi Hilirisasi'!F341</f>
        <v>8722541056</v>
      </c>
      <c r="E113" s="5">
        <f>'[1]Realisasi Hilirisasi'!$H341</f>
        <v>254210414</v>
      </c>
      <c r="F113" s="9">
        <f>IFERROR((InputData[[#This Row],[GROSS PROFIT]]/InputData[[#This Row],[REVENUE]])*100%,0)</f>
        <v>2.9144077668185411E-2</v>
      </c>
      <c r="G113" s="3" t="str">
        <f>VLOOKUP(InputData[[#This Row],[PRODUCT ID]],Master[],2,0)</f>
        <v>Baja Ringan</v>
      </c>
      <c r="H113" s="3" t="str">
        <f>VLOOKUP(InputData[[#This Row],[PRODUCT ID]],Master[],3,0)</f>
        <v>KNI</v>
      </c>
      <c r="I113" s="3" t="str">
        <f>TEXT(InputData[[#This Row],[MONTH]],"MMMMMM")</f>
        <v>December</v>
      </c>
      <c r="J113" s="3">
        <f>YEAR(InputData[[#This Row],[MONTH]])</f>
        <v>2023</v>
      </c>
      <c r="K113" s="14" t="str">
        <f>"SMT-"&amp;CHOOSE(MONTH(InputData[[#This Row],[MONTH]]),1,1,1,1,1,1,2,2,2,2,2,2)</f>
        <v>SMT-2</v>
      </c>
      <c r="L113" s="48">
        <f>'[1]Per AP#2'!$O$7</f>
        <v>426</v>
      </c>
    </row>
    <row r="114" spans="1:12">
      <c r="A114" s="4">
        <v>45261</v>
      </c>
      <c r="B114" s="3" t="s">
        <v>20</v>
      </c>
      <c r="C114" s="8">
        <f>'[1]Realisasi Hilirisasi'!E342</f>
        <v>10.859459999999999</v>
      </c>
      <c r="D114" s="7">
        <f>'[1]Realisasi Hilirisasi'!F342</f>
        <v>148725197</v>
      </c>
      <c r="E114" s="5">
        <f>'[1]Realisasi Hilirisasi'!$H342</f>
        <v>11290062</v>
      </c>
      <c r="F114" s="9">
        <f>IFERROR((InputData[[#This Row],[GROSS PROFIT]]/InputData[[#This Row],[REVENUE]])*100%,0)</f>
        <v>7.5912234293426417E-2</v>
      </c>
      <c r="G114" s="3" t="str">
        <f>VLOOKUP(InputData[[#This Row],[PRODUCT ID]],Master[],2,0)</f>
        <v>CNP</v>
      </c>
      <c r="H114" s="3" t="str">
        <f>VLOOKUP(InputData[[#This Row],[PRODUCT ID]],Master[],3,0)</f>
        <v>KNI</v>
      </c>
      <c r="I114" s="3" t="str">
        <f>TEXT(InputData[[#This Row],[MONTH]],"MMMMMM")</f>
        <v>December</v>
      </c>
      <c r="J114" s="3">
        <f>YEAR(InputData[[#This Row],[MONTH]])</f>
        <v>2023</v>
      </c>
      <c r="K114" s="14" t="str">
        <f>"SMT-"&amp;CHOOSE(MONTH(InputData[[#This Row],[MONTH]]),1,1,1,1,1,1,2,2,2,2,2,2)</f>
        <v>SMT-2</v>
      </c>
      <c r="L114" s="48">
        <v>0</v>
      </c>
    </row>
    <row r="115" spans="1:12">
      <c r="A115" s="4">
        <v>45261</v>
      </c>
      <c r="B115" s="3" t="s">
        <v>21</v>
      </c>
      <c r="C115" s="6">
        <f>'[1]Realisasi Hilirisasi'!E$349</f>
        <v>965.94000000000062</v>
      </c>
      <c r="D115" s="7">
        <f>'[1]Realisasi Hilirisasi'!F$349</f>
        <v>18352860000.000011</v>
      </c>
      <c r="E115" s="5">
        <f>'[1]Realisasi Hilirisasi'!$H$349</f>
        <v>734114400.00000048</v>
      </c>
      <c r="F115" s="9">
        <f>IFERROR((InputData[[#This Row],[GROSS PROFIT]]/InputData[[#This Row],[REVENUE]])*100%,0)</f>
        <v>0.04</v>
      </c>
      <c r="G115" s="3" t="str">
        <f>VLOOKUP(InputData[[#This Row],[PRODUCT ID]],Master[],2,0)</f>
        <v>Welded Beam</v>
      </c>
      <c r="H115" s="3" t="str">
        <f>VLOOKUP(InputData[[#This Row],[PRODUCT ID]],Master[],3,0)</f>
        <v>KPdP</v>
      </c>
      <c r="I115" s="3" t="str">
        <f>TEXT(InputData[[#This Row],[MONTH]],"MMMMMM")</f>
        <v>December</v>
      </c>
      <c r="J115" s="3">
        <f>YEAR(InputData[[#This Row],[MONTH]])</f>
        <v>2023</v>
      </c>
      <c r="K115" s="14" t="str">
        <f>"SMT-"&amp;CHOOSE(MONTH(InputData[[#This Row],[MONTH]]),1,1,1,1,1,1,2,2,2,2,2,2)</f>
        <v>SMT-2</v>
      </c>
      <c r="L115" s="48">
        <f>'[1]Per AP#2'!$O$8</f>
        <v>157.58000000000001</v>
      </c>
    </row>
    <row r="116" spans="1:12">
      <c r="A116" s="4">
        <v>45292</v>
      </c>
      <c r="B116" s="3" t="s">
        <v>4</v>
      </c>
      <c r="C116" s="11">
        <f>'[2]Realisasi Hilirisasi'!$E$8</f>
        <v>55.184253571428577</v>
      </c>
      <c r="D116" s="7">
        <f>'[2]Realisasi Hilirisasi'!$F$8</f>
        <v>1247154075.02</v>
      </c>
      <c r="E116" s="7">
        <f>'[2]Realisasi Hilirisasi'!$G$8</f>
        <v>83530663.125</v>
      </c>
      <c r="F116" s="9">
        <f>IFERROR((InputData[[#This Row],[GROSS PROFIT]]/InputData[[#This Row],[REVENUE]])*100%,0)</f>
        <v>6.6977019758894238E-2</v>
      </c>
      <c r="G116" s="3" t="str">
        <f>VLOOKUP(InputData[[#This Row],[PRODUCT ID]],Master[],2,0)</f>
        <v>Tower</v>
      </c>
      <c r="H116" s="3" t="str">
        <f>VLOOKUP(InputData[[#This Row],[PRODUCT ID]],Master[],3,0)</f>
        <v>KBK</v>
      </c>
      <c r="I116" s="3" t="str">
        <f>TEXT(InputData[[#This Row],[MONTH]],"MMMMMM")</f>
        <v>January</v>
      </c>
      <c r="J116" s="3">
        <f>YEAR(InputData[[#This Row],[MONTH]])</f>
        <v>2024</v>
      </c>
      <c r="K116" s="14" t="str">
        <f>"SMT-"&amp;CHOOSE(MONTH(InputData[[#This Row],[MONTH]]),1,1,1,1,1,1,2,2,2,2,2,2)</f>
        <v>SMT-1</v>
      </c>
      <c r="L116" s="48">
        <f>'[2]Target Hilirisasi 2024'!$E$9</f>
        <v>605</v>
      </c>
    </row>
    <row r="117" spans="1:12">
      <c r="A117" s="4">
        <v>45292</v>
      </c>
      <c r="B117" s="3" t="s">
        <v>9</v>
      </c>
      <c r="C117" s="12">
        <f>'[2]Realisasi Hilirisasi'!E9</f>
        <v>198.53577586206896</v>
      </c>
      <c r="D117" s="7">
        <f>'[2]Realisasi Hilirisasi'!F$9</f>
        <v>5757537500</v>
      </c>
      <c r="E117" s="5">
        <f>'[2]Realisasi Hilirisasi'!G$9</f>
        <v>287876875</v>
      </c>
      <c r="F117" s="9">
        <f>IFERROR((InputData[[#This Row],[GROSS PROFIT]]/InputData[[#This Row],[REVENUE]])*100%,0)</f>
        <v>0.05</v>
      </c>
      <c r="G117" s="3" t="str">
        <f>VLOOKUP(InputData[[#This Row],[PRODUCT ID]],Master[],2,0)</f>
        <v>Steel Structure</v>
      </c>
      <c r="H117" s="3" t="str">
        <f>VLOOKUP(InputData[[#This Row],[PRODUCT ID]],Master[],3,0)</f>
        <v>KBK</v>
      </c>
      <c r="I117" s="3" t="str">
        <f>TEXT(InputData[[#This Row],[MONTH]],"MMMMMM")</f>
        <v>January</v>
      </c>
      <c r="J117" s="3">
        <f>YEAR(InputData[[#This Row],[MONTH]])</f>
        <v>2024</v>
      </c>
      <c r="K117" s="14" t="str">
        <f>"SMT-"&amp;CHOOSE(MONTH(InputData[[#This Row],[MONTH]]),1,1,1,1,1,1,2,2,2,2,2,2)</f>
        <v>SMT-1</v>
      </c>
      <c r="L117" s="48">
        <v>0</v>
      </c>
    </row>
    <row r="118" spans="1:12">
      <c r="A118" s="4">
        <v>45292</v>
      </c>
      <c r="B118" s="3" t="s">
        <v>22</v>
      </c>
      <c r="C118" s="12">
        <f>'[2]Realisasi Hilirisasi'!E10</f>
        <v>2.1724722947368424</v>
      </c>
      <c r="D118" s="7">
        <f>'[2]Realisasi Hilirisasi'!F10</f>
        <v>41276973.600000001</v>
      </c>
      <c r="E118" s="7">
        <f>'[2]Realisasi Hilirisasi'!G10</f>
        <v>2063848.6799999997</v>
      </c>
      <c r="F118" s="9">
        <f>IFERROR((InputData[[#This Row],[GROSS PROFIT]]/InputData[[#This Row],[REVENUE]])*100%,0)</f>
        <v>4.9999999999999989E-2</v>
      </c>
      <c r="G118" s="3" t="str">
        <f>VLOOKUP(InputData[[#This Row],[PRODUCT ID]],Master[],2,0)</f>
        <v>Modular</v>
      </c>
      <c r="H118" s="3" t="str">
        <f>VLOOKUP(InputData[[#This Row],[PRODUCT ID]],Master[],3,0)</f>
        <v>KBK</v>
      </c>
      <c r="I118" s="3" t="str">
        <f>TEXT(InputData[[#This Row],[MONTH]],"MMMMMM")</f>
        <v>January</v>
      </c>
      <c r="J118" s="3">
        <f>YEAR(InputData[[#This Row],[MONTH]])</f>
        <v>2024</v>
      </c>
      <c r="K118" s="14" t="str">
        <f>"SMT-"&amp;CHOOSE(MONTH(InputData[[#This Row],[MONTH]]),1,1,1,1,1,1,2,2,2,2,2,2)</f>
        <v>SMT-1</v>
      </c>
      <c r="L118" s="48">
        <v>0</v>
      </c>
    </row>
    <row r="119" spans="1:12">
      <c r="A119" s="4">
        <v>45292</v>
      </c>
      <c r="B119" s="3" t="s">
        <v>11</v>
      </c>
      <c r="C119" s="12">
        <f>'[2]Realisasi Hilirisasi'!E11</f>
        <v>594.88486315789464</v>
      </c>
      <c r="D119" s="7">
        <f>'[2]Realisasi Hilirisasi'!F11</f>
        <v>2244323194</v>
      </c>
      <c r="E119" s="7">
        <f>'[2]Realisasi Hilirisasi'!G11</f>
        <v>106585448.22831991</v>
      </c>
      <c r="F119" s="9">
        <f>IFERROR((InputData[[#This Row],[GROSS PROFIT]]/InputData[[#This Row],[REVENUE]])*100%,0)</f>
        <v>4.7491131630803755E-2</v>
      </c>
      <c r="G119" s="3" t="str">
        <f>VLOOKUP(InputData[[#This Row],[PRODUCT ID]],Master[],2,0)</f>
        <v>Steel Creative &amp; Component</v>
      </c>
      <c r="H119" s="3" t="str">
        <f>VLOOKUP(InputData[[#This Row],[PRODUCT ID]],Master[],3,0)</f>
        <v>KBK</v>
      </c>
      <c r="I119" s="3" t="str">
        <f>TEXT(InputData[[#This Row],[MONTH]],"MMMMMM")</f>
        <v>January</v>
      </c>
      <c r="J119" s="3">
        <f>YEAR(InputData[[#This Row],[MONTH]])</f>
        <v>2024</v>
      </c>
      <c r="K119" s="14" t="str">
        <f>"SMT-"&amp;CHOOSE(MONTH(InputData[[#This Row],[MONTH]]),1,1,1,1,1,1,2,2,2,2,2,2)</f>
        <v>SMT-1</v>
      </c>
      <c r="L119" s="48">
        <v>0</v>
      </c>
    </row>
    <row r="120" spans="1:12">
      <c r="A120" s="4">
        <v>45292</v>
      </c>
      <c r="B120" s="3" t="s">
        <v>24</v>
      </c>
      <c r="C120" s="12">
        <f>'[2]Realisasi Hilirisasi'!E12</f>
        <v>27.021450000000002</v>
      </c>
      <c r="D120" s="7">
        <f>'[2]Realisasi Hilirisasi'!F12</f>
        <v>401326743</v>
      </c>
      <c r="E120" s="7">
        <f>'[2]Realisasi Hilirisasi'!G12</f>
        <v>27021450</v>
      </c>
      <c r="F120" s="9">
        <f>IFERROR((InputData[[#This Row],[GROSS PROFIT]]/InputData[[#This Row],[REVENUE]])*100%,0)</f>
        <v>6.7330299989502573E-2</v>
      </c>
      <c r="G120" s="3" t="str">
        <f>VLOOKUP(InputData[[#This Row],[PRODUCT ID]],Master[],2,0)</f>
        <v>Cut to Lenght</v>
      </c>
      <c r="H120" s="3" t="str">
        <f>VLOOKUP(InputData[[#This Row],[PRODUCT ID]],Master[],3,0)</f>
        <v>KBK</v>
      </c>
      <c r="I120" s="3" t="str">
        <f>TEXT(InputData[[#This Row],[MONTH]],"MMMMMM")</f>
        <v>January</v>
      </c>
      <c r="J120" s="3">
        <f>YEAR(InputData[[#This Row],[MONTH]])</f>
        <v>2024</v>
      </c>
      <c r="K120" s="14" t="str">
        <f>"SMT-"&amp;CHOOSE(MONTH(InputData[[#This Row],[MONTH]]),1,1,1,1,1,1,2,2,2,2,2,2)</f>
        <v>SMT-1</v>
      </c>
      <c r="L120" s="48">
        <v>0</v>
      </c>
    </row>
    <row r="121" spans="1:12">
      <c r="A121" s="4">
        <v>45292</v>
      </c>
      <c r="B121" s="3" t="s">
        <v>12</v>
      </c>
      <c r="C121" s="12">
        <f>'[2]Realisasi Hilirisasi'!E13</f>
        <v>103.21899999999999</v>
      </c>
      <c r="D121" s="7">
        <f>'[2]Realisasi Hilirisasi'!F13</f>
        <v>1604254949</v>
      </c>
      <c r="E121" s="7">
        <f>'[2]Realisasi Hilirisasi'!G13</f>
        <v>29623853</v>
      </c>
      <c r="F121" s="9">
        <f>IFERROR((InputData[[#This Row],[GROSS PROFIT]]/InputData[[#This Row],[REVENUE]])*100%,0)</f>
        <v>1.8465801223468751E-2</v>
      </c>
      <c r="G121" s="3" t="str">
        <f>VLOOKUP(InputData[[#This Row],[PRODUCT ID]],Master[],2,0)</f>
        <v>Electric Pole</v>
      </c>
      <c r="H121" s="3" t="str">
        <f>VLOOKUP(InputData[[#This Row],[PRODUCT ID]],Master[],3,0)</f>
        <v>KPI</v>
      </c>
      <c r="I121" s="3" t="str">
        <f>TEXT(InputData[[#This Row],[MONTH]],"MMMMMM")</f>
        <v>January</v>
      </c>
      <c r="J121" s="3">
        <f>YEAR(InputData[[#This Row],[MONTH]])</f>
        <v>2024</v>
      </c>
      <c r="K121" s="14" t="str">
        <f>"SMT-"&amp;CHOOSE(MONTH(InputData[[#This Row],[MONTH]]),1,1,1,1,1,1,2,2,2,2,2,2)</f>
        <v>SMT-1</v>
      </c>
      <c r="L121" s="48">
        <f>'[2]Target Hilirisasi 2024'!$E$10</f>
        <v>150</v>
      </c>
    </row>
    <row r="122" spans="1:12">
      <c r="A122" s="4">
        <v>45292</v>
      </c>
      <c r="B122" s="3" t="s">
        <v>14</v>
      </c>
      <c r="C122" s="12">
        <f>'[2]Realisasi Hilirisasi'!E14</f>
        <v>38.5</v>
      </c>
      <c r="D122" s="7">
        <f>'[2]Realisasi Hilirisasi'!F14</f>
        <v>625000000</v>
      </c>
      <c r="E122" s="7">
        <f>'[2]Realisasi Hilirisasi'!G14</f>
        <v>31250000</v>
      </c>
      <c r="F122" s="9">
        <f>IFERROR((InputData[[#This Row],[GROSS PROFIT]]/InputData[[#This Row],[REVENUE]])*100%,0)</f>
        <v>0.05</v>
      </c>
      <c r="G122" s="3" t="str">
        <f>VLOOKUP(InputData[[#This Row],[PRODUCT ID]],Master[],2,0)</f>
        <v>Fiber Optic Pole</v>
      </c>
      <c r="H122" s="3" t="str">
        <f>VLOOKUP(InputData[[#This Row],[PRODUCT ID]],Master[],3,0)</f>
        <v>KPI</v>
      </c>
      <c r="I122" s="3" t="str">
        <f>TEXT(InputData[[#This Row],[MONTH]],"MMMMMM")</f>
        <v>January</v>
      </c>
      <c r="J122" s="3">
        <f>YEAR(InputData[[#This Row],[MONTH]])</f>
        <v>2024</v>
      </c>
      <c r="K122" s="14" t="str">
        <f>"SMT-"&amp;CHOOSE(MONTH(InputData[[#This Row],[MONTH]]),1,1,1,1,1,1,2,2,2,2,2,2)</f>
        <v>SMT-1</v>
      </c>
      <c r="L122" s="48">
        <v>0</v>
      </c>
    </row>
    <row r="123" spans="1:12">
      <c r="A123" s="4">
        <v>45292</v>
      </c>
      <c r="B123" s="3" t="s">
        <v>19</v>
      </c>
      <c r="C123" s="12">
        <f>'[2]Realisasi Hilirisasi'!E16</f>
        <v>378.07400621722854</v>
      </c>
      <c r="D123" s="7">
        <f>'[2]Realisasi Hilirisasi'!F16</f>
        <v>6620606340</v>
      </c>
      <c r="E123" s="7">
        <f>'[2]Realisasi Hilirisasi'!G16</f>
        <v>98429313</v>
      </c>
      <c r="F123" s="9">
        <f>IFERROR((InputData[[#This Row],[GROSS PROFIT]]/InputData[[#This Row],[REVENUE]])*100%,0)</f>
        <v>1.4867114573073983E-2</v>
      </c>
      <c r="G123" s="3" t="str">
        <f>VLOOKUP(InputData[[#This Row],[PRODUCT ID]],Master[],2,0)</f>
        <v>Baja Ringan</v>
      </c>
      <c r="H123" s="3" t="str">
        <f>VLOOKUP(InputData[[#This Row],[PRODUCT ID]],Master[],3,0)</f>
        <v>KNI</v>
      </c>
      <c r="I123" s="3" t="str">
        <f>TEXT(InputData[[#This Row],[MONTH]],"MMMMMM")</f>
        <v>January</v>
      </c>
      <c r="J123" s="3">
        <f>YEAR(InputData[[#This Row],[MONTH]])</f>
        <v>2024</v>
      </c>
      <c r="K123" s="14" t="str">
        <f>"SMT-"&amp;CHOOSE(MONTH(InputData[[#This Row],[MONTH]]),1,1,1,1,1,1,2,2,2,2,2,2)</f>
        <v>SMT-1</v>
      </c>
      <c r="L123" s="48">
        <f>'[2]Target Hilirisasi 2024'!$E$11</f>
        <v>450</v>
      </c>
    </row>
    <row r="124" spans="1:12">
      <c r="A124" s="4">
        <v>45292</v>
      </c>
      <c r="B124" s="3" t="s">
        <v>20</v>
      </c>
      <c r="C124" s="12">
        <f>'[2]Realisasi Hilirisasi'!E$19</f>
        <v>2.73</v>
      </c>
      <c r="D124" s="7">
        <f>'[2]Realisasi Hilirisasi'!F$19</f>
        <v>32666620</v>
      </c>
      <c r="E124" s="7">
        <f>'[2]Realisasi Hilirisasi'!G$19</f>
        <v>3026980</v>
      </c>
      <c r="F124" s="9">
        <f>IFERROR((InputData[[#This Row],[GROSS PROFIT]]/InputData[[#This Row],[REVENUE]])*100%,0)</f>
        <v>9.2662785436632256E-2</v>
      </c>
      <c r="G124" s="3" t="str">
        <f>VLOOKUP(InputData[[#This Row],[PRODUCT ID]],Master[],2,0)</f>
        <v>CNP</v>
      </c>
      <c r="H124" s="3" t="str">
        <f>VLOOKUP(InputData[[#This Row],[PRODUCT ID]],Master[],3,0)</f>
        <v>KNI</v>
      </c>
      <c r="I124" s="3" t="str">
        <f>TEXT(InputData[[#This Row],[MONTH]],"MMMMMM")</f>
        <v>January</v>
      </c>
      <c r="J124" s="3">
        <f>YEAR(InputData[[#This Row],[MONTH]])</f>
        <v>2024</v>
      </c>
      <c r="K124" s="14" t="str">
        <f>"SMT-"&amp;CHOOSE(MONTH(InputData[[#This Row],[MONTH]]),1,1,1,1,1,1,2,2,2,2,2,2)</f>
        <v>SMT-1</v>
      </c>
      <c r="L124" s="48">
        <v>0</v>
      </c>
    </row>
    <row r="125" spans="1:12">
      <c r="A125" s="4">
        <v>45292</v>
      </c>
      <c r="B125" s="3" t="s">
        <v>23</v>
      </c>
      <c r="C125" s="12">
        <f>'[2]Realisasi Hilirisasi'!E$20</f>
        <v>29.6968</v>
      </c>
      <c r="D125" s="7">
        <f>'[2]Realisasi Hilirisasi'!F$20</f>
        <v>382616638</v>
      </c>
      <c r="E125" s="7">
        <f>'[2]Realisasi Hilirisasi'!G$20</f>
        <v>20812242</v>
      </c>
      <c r="F125" s="9">
        <f>IFERROR((InputData[[#This Row],[GROSS PROFIT]]/InputData[[#This Row],[REVENUE]])*100%,0)</f>
        <v>5.4394503356647028E-2</v>
      </c>
      <c r="G125" s="3" t="str">
        <f>VLOOKUP(InputData[[#This Row],[PRODUCT ID]],Master[],2,0)</f>
        <v>Other Product</v>
      </c>
      <c r="H125" s="3" t="str">
        <f>VLOOKUP(InputData[[#This Row],[PRODUCT ID]],Master[],3,0)</f>
        <v>KNI</v>
      </c>
      <c r="I125" s="3" t="str">
        <f>TEXT(InputData[[#This Row],[MONTH]],"MMMMMM")</f>
        <v>January</v>
      </c>
      <c r="J125" s="3">
        <f>YEAR(InputData[[#This Row],[MONTH]])</f>
        <v>2024</v>
      </c>
      <c r="K125" s="14" t="str">
        <f>"SMT-"&amp;CHOOSE(MONTH(InputData[[#This Row],[MONTH]]),1,1,1,1,1,1,2,2,2,2,2,2)</f>
        <v>SMT-1</v>
      </c>
      <c r="L125" s="48">
        <v>0</v>
      </c>
    </row>
    <row r="126" spans="1:12">
      <c r="A126" s="4">
        <v>45292</v>
      </c>
      <c r="B126" s="3" t="s">
        <v>21</v>
      </c>
      <c r="C126" s="6">
        <v>0</v>
      </c>
      <c r="D126" s="7">
        <v>0</v>
      </c>
      <c r="E126" s="5">
        <v>0</v>
      </c>
      <c r="F126" s="9">
        <f>IFERROR((InputData[[#This Row],[GROSS PROFIT]]/InputData[[#This Row],[REVENUE]])*100%,0)</f>
        <v>0</v>
      </c>
      <c r="G126" s="3" t="str">
        <f>VLOOKUP(InputData[[#This Row],[PRODUCT ID]],Master[],2,0)</f>
        <v>Welded Beam</v>
      </c>
      <c r="H126" s="3" t="str">
        <f>VLOOKUP(InputData[[#This Row],[PRODUCT ID]],Master[],3,0)</f>
        <v>KPdP</v>
      </c>
      <c r="I126" s="3" t="str">
        <f>TEXT(InputData[[#This Row],[MONTH]],"MMMMMM")</f>
        <v>January</v>
      </c>
      <c r="J126" s="3">
        <f>YEAR(InputData[[#This Row],[MONTH]])</f>
        <v>2024</v>
      </c>
      <c r="K126" s="3" t="str">
        <f>"SMT-"&amp;CHOOSE(MONTH(InputData[[#This Row],[MONTH]]),1,1,1,1,1,1,2,2,2,2,2,2)</f>
        <v>SMT-1</v>
      </c>
      <c r="L126" s="48">
        <f>'[2]Target Hilirisasi 2024'!$E$12</f>
        <v>225</v>
      </c>
    </row>
    <row r="127" spans="1:12">
      <c r="A127" s="4">
        <v>45323</v>
      </c>
      <c r="B127" s="3" t="s">
        <v>4</v>
      </c>
      <c r="C127" s="12">
        <f>'[3]Realisasi Hilirisasi'!$T$8</f>
        <v>19.955779999999997</v>
      </c>
      <c r="D127" s="7">
        <f>'[3]Realisasi Hilirisasi'!$F$22</f>
        <v>452791695</v>
      </c>
      <c r="E127" s="5">
        <f>'[3]Realisasi Hilirisasi'!$G$22</f>
        <v>29933670</v>
      </c>
      <c r="F127" s="9">
        <f>IFERROR((InputData[[#This Row],[GROSS PROFIT]]/InputData[[#This Row],[REVENUE]])*100%,0)</f>
        <v>6.6109140981483766E-2</v>
      </c>
      <c r="G127" s="3" t="str">
        <f>VLOOKUP(InputData[[#This Row],[PRODUCT ID]],Master[],2,0)</f>
        <v>Tower</v>
      </c>
      <c r="H127" s="3" t="str">
        <f>VLOOKUP(InputData[[#This Row],[PRODUCT ID]],Master[],3,0)</f>
        <v>KBK</v>
      </c>
      <c r="I127" s="3" t="str">
        <f>TEXT(InputData[[#This Row],[MONTH]],"MMMMMM")</f>
        <v>February</v>
      </c>
      <c r="J127" s="3">
        <f>YEAR(InputData[[#This Row],[MONTH]])</f>
        <v>2024</v>
      </c>
      <c r="K127" s="3" t="str">
        <f>"SMT-"&amp;CHOOSE(MONTH(InputData[[#This Row],[MONTH]]),1,1,1,1,1,1,2,2,2,2,2,2)</f>
        <v>SMT-1</v>
      </c>
      <c r="L127" s="48">
        <f>'[3]Target Hilirisasi 2024'!$F$9</f>
        <v>605</v>
      </c>
    </row>
    <row r="128" spans="1:12">
      <c r="A128" s="4">
        <v>45323</v>
      </c>
      <c r="B128" s="3" t="s">
        <v>9</v>
      </c>
      <c r="C128" s="12">
        <f>'[3]Realisasi Hilirisasi'!$T$9</f>
        <v>26.952999999999999</v>
      </c>
      <c r="D128" s="7">
        <f>'[3]Realisasi Hilirisasi'!$F$23</f>
        <v>510678491</v>
      </c>
      <c r="E128" s="5">
        <f>'[3]Realisasi Hilirisasi'!$G$23</f>
        <v>38300886.824999988</v>
      </c>
      <c r="F128" s="9">
        <f>IFERROR((InputData[[#This Row],[GROSS PROFIT]]/InputData[[#This Row],[REVENUE]])*100%,0)</f>
        <v>7.4999999999999983E-2</v>
      </c>
      <c r="G128" s="3" t="str">
        <f>VLOOKUP(InputData[[#This Row],[PRODUCT ID]],Master[],2,0)</f>
        <v>Steel Structure</v>
      </c>
      <c r="H128" s="3" t="str">
        <f>VLOOKUP(InputData[[#This Row],[PRODUCT ID]],Master[],3,0)</f>
        <v>KBK</v>
      </c>
      <c r="I128" s="3" t="str">
        <f>TEXT(InputData[[#This Row],[MONTH]],"MMMMMM")</f>
        <v>February</v>
      </c>
      <c r="J128" s="3">
        <f>YEAR(InputData[[#This Row],[MONTH]])</f>
        <v>2024</v>
      </c>
      <c r="K128" s="3" t="str">
        <f>"SMT-"&amp;CHOOSE(MONTH(InputData[[#This Row],[MONTH]]),1,1,1,1,1,1,2,2,2,2,2,2)</f>
        <v>SMT-1</v>
      </c>
      <c r="L128" s="48">
        <v>0</v>
      </c>
    </row>
    <row r="129" spans="1:12">
      <c r="A129" s="4">
        <v>45323</v>
      </c>
      <c r="B129" s="3" t="s">
        <v>11</v>
      </c>
      <c r="C129" s="12">
        <f>'[3]Realisasi Hilirisasi'!$T$11</f>
        <v>491.16742099999999</v>
      </c>
      <c r="D129" s="7">
        <f>'[3]Realisasi Hilirisasi'!$F$25</f>
        <v>7461264685</v>
      </c>
      <c r="E129" s="5">
        <f>'[3]Realisasi Hilirisasi'!$G$25</f>
        <v>531432352.5</v>
      </c>
      <c r="F129" s="9">
        <f>IFERROR((InputData[[#This Row],[GROSS PROFIT]]/InputData[[#This Row],[REVENUE]])*100%,0)</f>
        <v>7.1225505988064278E-2</v>
      </c>
      <c r="G129" s="3" t="str">
        <f>VLOOKUP(InputData[[#This Row],[PRODUCT ID]],Master[],2,0)</f>
        <v>Steel Creative &amp; Component</v>
      </c>
      <c r="H129" s="3" t="str">
        <f>VLOOKUP(InputData[[#This Row],[PRODUCT ID]],Master[],3,0)</f>
        <v>KBK</v>
      </c>
      <c r="I129" s="3" t="str">
        <f>TEXT(InputData[[#This Row],[MONTH]],"MMMMMM")</f>
        <v>February</v>
      </c>
      <c r="J129" s="3">
        <f>YEAR(InputData[[#This Row],[MONTH]])</f>
        <v>2024</v>
      </c>
      <c r="K129" s="3" t="str">
        <f>"SMT-"&amp;CHOOSE(MONTH(InputData[[#This Row],[MONTH]]),1,1,1,1,1,1,2,2,2,2,2,2)</f>
        <v>SMT-1</v>
      </c>
      <c r="L129" s="48">
        <v>0</v>
      </c>
    </row>
    <row r="130" spans="1:12">
      <c r="A130" s="4">
        <v>45323</v>
      </c>
      <c r="B130" s="3" t="s">
        <v>24</v>
      </c>
      <c r="C130" s="12">
        <f>'[3]Realisasi Hilirisasi'!$T$12</f>
        <v>849.00599999999997</v>
      </c>
      <c r="D130" s="7">
        <f>'[3]Realisasi Hilirisasi'!$F$26</f>
        <v>10942067592</v>
      </c>
      <c r="E130" s="5">
        <f>'[3]Realisasi Hilirisasi'!$G$26</f>
        <v>169801200</v>
      </c>
      <c r="F130" s="9">
        <f>IFERROR((InputData[[#This Row],[GROSS PROFIT]]/InputData[[#This Row],[REVENUE]])*100%,0)</f>
        <v>1.5518200611751439E-2</v>
      </c>
      <c r="G130" s="3" t="str">
        <f>VLOOKUP(InputData[[#This Row],[PRODUCT ID]],Master[],2,0)</f>
        <v>Cut to Lenght</v>
      </c>
      <c r="H130" s="3" t="str">
        <f>VLOOKUP(InputData[[#This Row],[PRODUCT ID]],Master[],3,0)</f>
        <v>KBK</v>
      </c>
      <c r="I130" s="3" t="str">
        <f>TEXT(InputData[[#This Row],[MONTH]],"MMMMMM")</f>
        <v>February</v>
      </c>
      <c r="J130" s="3">
        <f>YEAR(InputData[[#This Row],[MONTH]])</f>
        <v>2024</v>
      </c>
      <c r="K130" s="3" t="str">
        <f>"SMT-"&amp;CHOOSE(MONTH(InputData[[#This Row],[MONTH]]),1,1,1,1,1,1,2,2,2,2,2,2)</f>
        <v>SMT-1</v>
      </c>
      <c r="L130" s="48">
        <v>0</v>
      </c>
    </row>
    <row r="131" spans="1:12">
      <c r="A131" s="4">
        <v>45323</v>
      </c>
      <c r="B131" s="3" t="s">
        <v>12</v>
      </c>
      <c r="C131" s="12">
        <f>'[3]Realisasi Hilirisasi'!$T$13</f>
        <v>81.084000000000003</v>
      </c>
      <c r="D131" s="7">
        <f>'[3]Realisasi Hilirisasi'!$F$27</f>
        <v>1260227364</v>
      </c>
      <c r="E131" s="5">
        <f>'[3]Realisasi Hilirisasi'!$G$27</f>
        <v>23271108</v>
      </c>
      <c r="F131" s="9">
        <f>IFERROR((InputData[[#This Row],[GROSS PROFIT]]/InputData[[#This Row],[REVENUE]])*100%,0)</f>
        <v>1.8465801223468751E-2</v>
      </c>
      <c r="G131" s="3" t="str">
        <f>VLOOKUP(InputData[[#This Row],[PRODUCT ID]],Master[],2,0)</f>
        <v>Electric Pole</v>
      </c>
      <c r="H131" s="3" t="str">
        <f>VLOOKUP(InputData[[#This Row],[PRODUCT ID]],Master[],3,0)</f>
        <v>KPI</v>
      </c>
      <c r="I131" s="3" t="str">
        <f>TEXT(InputData[[#This Row],[MONTH]],"MMMMMM")</f>
        <v>February</v>
      </c>
      <c r="J131" s="3">
        <f>YEAR(InputData[[#This Row],[MONTH]])</f>
        <v>2024</v>
      </c>
      <c r="K131" s="3" t="str">
        <f>"SMT-"&amp;CHOOSE(MONTH(InputData[[#This Row],[MONTH]]),1,1,1,1,1,1,2,2,2,2,2,2)</f>
        <v>SMT-1</v>
      </c>
      <c r="L131" s="48">
        <f>'[3]Target Hilirisasi 2024'!$F$10</f>
        <v>250</v>
      </c>
    </row>
    <row r="132" spans="1:12">
      <c r="A132" s="4">
        <v>45323</v>
      </c>
      <c r="B132" s="3" t="s">
        <v>17</v>
      </c>
      <c r="C132" s="12">
        <f>'[3]Realisasi Hilirisasi'!$T$15</f>
        <v>4</v>
      </c>
      <c r="D132" s="7">
        <f>'[3]Realisasi Hilirisasi'!$F$29</f>
        <v>1978540000</v>
      </c>
      <c r="E132" s="5">
        <f>'[3]Realisasi Hilirisasi'!$G$29</f>
        <v>104143200</v>
      </c>
      <c r="F132" s="9">
        <f>IFERROR((InputData[[#This Row],[GROSS PROFIT]]/InputData[[#This Row],[REVENUE]])*100%,0)</f>
        <v>5.263638844804755E-2</v>
      </c>
      <c r="G132" s="3" t="str">
        <f>VLOOKUP(InputData[[#This Row],[PRODUCT ID]],Master[],2,0)</f>
        <v>Bends Pipe</v>
      </c>
      <c r="H132" s="3" t="str">
        <f>VLOOKUP(InputData[[#This Row],[PRODUCT ID]],Master[],3,0)</f>
        <v>KPI</v>
      </c>
      <c r="I132" s="3" t="str">
        <f>TEXT(InputData[[#This Row],[MONTH]],"MMMMMM")</f>
        <v>February</v>
      </c>
      <c r="J132" s="3">
        <f>YEAR(InputData[[#This Row],[MONTH]])</f>
        <v>2024</v>
      </c>
      <c r="K132" s="3" t="str">
        <f>"SMT-"&amp;CHOOSE(MONTH(InputData[[#This Row],[MONTH]]),1,1,1,1,1,1,2,2,2,2,2,2)</f>
        <v>SMT-1</v>
      </c>
      <c r="L132" s="48">
        <v>0</v>
      </c>
    </row>
    <row r="133" spans="1:12">
      <c r="A133" s="4">
        <v>45323</v>
      </c>
      <c r="B133" s="3" t="s">
        <v>19</v>
      </c>
      <c r="C133" s="12">
        <f>'[3]Realisasi Hilirisasi'!$T$16</f>
        <v>330.6720617977528</v>
      </c>
      <c r="D133" s="7">
        <f>'[3]Realisasi Hilirisasi'!$F$30</f>
        <v>5690162179</v>
      </c>
      <c r="E133" s="5">
        <f>'[3]Realisasi Hilirisasi'!$G$30</f>
        <v>83498891</v>
      </c>
      <c r="F133" s="9">
        <f>IFERROR((InputData[[#This Row],[GROSS PROFIT]]/InputData[[#This Row],[REVENUE]])*100%,0)</f>
        <v>1.4674255034093642E-2</v>
      </c>
      <c r="G133" s="3" t="str">
        <f>VLOOKUP(InputData[[#This Row],[PRODUCT ID]],Master[],2,0)</f>
        <v>Baja Ringan</v>
      </c>
      <c r="H133" s="3" t="str">
        <f>VLOOKUP(InputData[[#This Row],[PRODUCT ID]],Master[],3,0)</f>
        <v>KNI</v>
      </c>
      <c r="I133" s="3" t="str">
        <f>TEXT(InputData[[#This Row],[MONTH]],"MMMMMM")</f>
        <v>February</v>
      </c>
      <c r="J133" s="3">
        <f>YEAR(InputData[[#This Row],[MONTH]])</f>
        <v>2024</v>
      </c>
      <c r="K133" s="3" t="str">
        <f>"SMT-"&amp;CHOOSE(MONTH(InputData[[#This Row],[MONTH]]),1,1,1,1,1,1,2,2,2,2,2,2)</f>
        <v>SMT-1</v>
      </c>
      <c r="L133" s="48">
        <f>'[3]Target Hilirisasi 2024'!$F$11</f>
        <v>450</v>
      </c>
    </row>
    <row r="134" spans="1:12">
      <c r="A134" s="4">
        <v>45323</v>
      </c>
      <c r="B134" s="3" t="s">
        <v>20</v>
      </c>
      <c r="C134" s="12">
        <f>'[3]Realisasi Hilirisasi'!$T$19</f>
        <v>7.508</v>
      </c>
      <c r="D134" s="7">
        <f>'[3]Realisasi Hilirisasi'!$F$33</f>
        <v>92712235</v>
      </c>
      <c r="E134" s="5">
        <f>'[3]Realisasi Hilirisasi'!$G$33</f>
        <v>8428451</v>
      </c>
      <c r="F134" s="9">
        <f>IFERROR((InputData[[#This Row],[GROSS PROFIT]]/InputData[[#This Row],[REVENUE]])*100%,0)</f>
        <v>9.0909802789243516E-2</v>
      </c>
      <c r="G134" s="3" t="str">
        <f>VLOOKUP(InputData[[#This Row],[PRODUCT ID]],Master[],2,0)</f>
        <v>CNP</v>
      </c>
      <c r="H134" s="3" t="str">
        <f>VLOOKUP(InputData[[#This Row],[PRODUCT ID]],Master[],3,0)</f>
        <v>KNI</v>
      </c>
      <c r="I134" s="3" t="str">
        <f>TEXT(InputData[[#This Row],[MONTH]],"MMMMMM")</f>
        <v>February</v>
      </c>
      <c r="J134" s="3">
        <f>YEAR(InputData[[#This Row],[MONTH]])</f>
        <v>2024</v>
      </c>
      <c r="K134" s="3" t="str">
        <f>"SMT-"&amp;CHOOSE(MONTH(InputData[[#This Row],[MONTH]]),1,1,1,1,1,1,2,2,2,2,2,2)</f>
        <v>SMT-1</v>
      </c>
      <c r="L134" s="48">
        <v>0</v>
      </c>
    </row>
    <row r="135" spans="1:12">
      <c r="A135" s="4">
        <v>45323</v>
      </c>
      <c r="B135" s="3" t="s">
        <v>21</v>
      </c>
      <c r="C135" s="12">
        <f>'[3]Realisasi Hilirisasi'!$T$21</f>
        <v>169.3</v>
      </c>
      <c r="D135" s="7">
        <f>'[3]Realisasi Hilirisasi'!$F$35</f>
        <v>2997173704</v>
      </c>
      <c r="E135" s="5">
        <f>'[3]Realisasi Hilirisasi'!$G$35</f>
        <v>119886948.16</v>
      </c>
      <c r="F135" s="9">
        <f>IFERROR((InputData[[#This Row],[GROSS PROFIT]]/InputData[[#This Row],[REVENUE]])*100%,0)</f>
        <v>0.04</v>
      </c>
      <c r="G135" s="3" t="str">
        <f>VLOOKUP(InputData[[#This Row],[PRODUCT ID]],Master[],2,0)</f>
        <v>Welded Beam</v>
      </c>
      <c r="H135" s="3" t="str">
        <f>VLOOKUP(InputData[[#This Row],[PRODUCT ID]],Master[],3,0)</f>
        <v>KPdP</v>
      </c>
      <c r="I135" s="3" t="str">
        <f>TEXT(InputData[[#This Row],[MONTH]],"MMMMMM")</f>
        <v>February</v>
      </c>
      <c r="J135" s="3">
        <f>YEAR(InputData[[#This Row],[MONTH]])</f>
        <v>2024</v>
      </c>
      <c r="K135" s="3" t="str">
        <f>"SMT-"&amp;CHOOSE(MONTH(InputData[[#This Row],[MONTH]]),1,1,1,1,1,1,2,2,2,2,2,2)</f>
        <v>SMT-1</v>
      </c>
      <c r="L135" s="48">
        <f>'[3]Target Hilirisasi 2024'!$F$12</f>
        <v>225</v>
      </c>
    </row>
    <row r="136" spans="1:12">
      <c r="A136" s="4">
        <v>45352</v>
      </c>
      <c r="B136" s="3" t="s">
        <v>9</v>
      </c>
      <c r="C136" s="12">
        <f>'[4]Realisasi Hilirisasi'!$E$37</f>
        <v>4.8</v>
      </c>
      <c r="D136" s="7">
        <f>'[4]Realisasi Hilirisasi'!$F$37</f>
        <v>90945600</v>
      </c>
      <c r="E136" s="5">
        <f>'[4]Realisasi Hilirisasi'!$G$37</f>
        <v>4547280</v>
      </c>
      <c r="F136" s="9">
        <f>IFERROR((InputData[[#This Row],[GROSS PROFIT]]/InputData[[#This Row],[REVENUE]])*100%,0)</f>
        <v>0.05</v>
      </c>
      <c r="G136" s="3" t="str">
        <f>VLOOKUP(InputData[[#This Row],[PRODUCT ID]],Master[],2,0)</f>
        <v>Steel Structure</v>
      </c>
      <c r="H136" s="3" t="str">
        <f>VLOOKUP(InputData[[#This Row],[PRODUCT ID]],Master[],3,0)</f>
        <v>KBK</v>
      </c>
      <c r="I136" s="3" t="str">
        <f>TEXT(InputData[[#This Row],[MONTH]],"MMMMMM")</f>
        <v>March</v>
      </c>
      <c r="J136" s="3">
        <f>YEAR(InputData[[#This Row],[MONTH]])</f>
        <v>2024</v>
      </c>
      <c r="K136" s="3" t="str">
        <f>"SMT-"&amp;CHOOSE(MONTH(InputData[[#This Row],[MONTH]]),1,1,1,1,1,1,2,2,2,2,2,2)</f>
        <v>SMT-1</v>
      </c>
      <c r="L136" s="48">
        <f>'[4]Target Hilirisasi 2024'!$G$9</f>
        <v>705</v>
      </c>
    </row>
    <row r="137" spans="1:12">
      <c r="A137" s="4">
        <v>45352</v>
      </c>
      <c r="B137" s="3" t="s">
        <v>11</v>
      </c>
      <c r="C137" s="12">
        <f>'[4]Realisasi Hilirisasi'!$E$39</f>
        <v>425.35668129032251</v>
      </c>
      <c r="D137" s="7">
        <f>'[4]Realisasi Hilirisasi'!$F$39</f>
        <v>6604813617</v>
      </c>
      <c r="E137" s="5">
        <f>'[4]Realisasi Hilirisasi'!$G$39</f>
        <v>530126720.8499999</v>
      </c>
      <c r="F137" s="9">
        <f>IFERROR((InputData[[#This Row],[GROSS PROFIT]]/InputData[[#This Row],[REVENUE]])*100%,0)</f>
        <v>8.0263691239600934E-2</v>
      </c>
      <c r="G137" s="3" t="str">
        <f>VLOOKUP(InputData[[#This Row],[PRODUCT ID]],Master[],2,0)</f>
        <v>Steel Creative &amp; Component</v>
      </c>
      <c r="H137" s="3" t="str">
        <f>VLOOKUP(InputData[[#This Row],[PRODUCT ID]],Master[],3,0)</f>
        <v>KBK</v>
      </c>
      <c r="I137" s="3" t="str">
        <f>TEXT(InputData[[#This Row],[MONTH]],"MMMMMM")</f>
        <v>March</v>
      </c>
      <c r="J137" s="3">
        <f>YEAR(InputData[[#This Row],[MONTH]])</f>
        <v>2024</v>
      </c>
      <c r="K137" s="3" t="str">
        <f>"SMT-"&amp;CHOOSE(MONTH(InputData[[#This Row],[MONTH]]),1,1,1,1,1,1,2,2,2,2,2,2)</f>
        <v>SMT-1</v>
      </c>
      <c r="L137" s="48">
        <v>0</v>
      </c>
    </row>
    <row r="138" spans="1:12">
      <c r="A138" s="4">
        <v>45352</v>
      </c>
      <c r="B138" s="3" t="s">
        <v>12</v>
      </c>
      <c r="C138" s="12">
        <f>'[4]Realisasi Hilirisasi'!$E$41</f>
        <v>159.84899999999999</v>
      </c>
      <c r="D138" s="7">
        <f>'[4]Realisasi Hilirisasi'!$F$41</f>
        <v>2489715449</v>
      </c>
      <c r="E138" s="5">
        <f>'[4]Realisasi Hilirisasi'!$G$41</f>
        <v>52424111</v>
      </c>
      <c r="F138" s="9">
        <f>IFERROR((InputData[[#This Row],[GROSS PROFIT]]/InputData[[#This Row],[REVENUE]])*100%,0)</f>
        <v>2.1056266097017742E-2</v>
      </c>
      <c r="G138" s="3" t="str">
        <f>VLOOKUP(InputData[[#This Row],[PRODUCT ID]],Master[],2,0)</f>
        <v>Electric Pole</v>
      </c>
      <c r="H138" s="3" t="str">
        <f>VLOOKUP(InputData[[#This Row],[PRODUCT ID]],Master[],3,0)</f>
        <v>KPI</v>
      </c>
      <c r="I138" s="3" t="str">
        <f>TEXT(InputData[[#This Row],[MONTH]],"MMMMMM")</f>
        <v>March</v>
      </c>
      <c r="J138" s="3">
        <f>YEAR(InputData[[#This Row],[MONTH]])</f>
        <v>2024</v>
      </c>
      <c r="K138" s="3" t="str">
        <f>"SMT-"&amp;CHOOSE(MONTH(InputData[[#This Row],[MONTH]]),1,1,1,1,1,1,2,2,2,2,2,2)</f>
        <v>SMT-1</v>
      </c>
      <c r="L138" s="48">
        <f>'[4]Target Hilirisasi 2024'!$G$10</f>
        <v>575</v>
      </c>
    </row>
    <row r="139" spans="1:12">
      <c r="A139" s="4">
        <v>45352</v>
      </c>
      <c r="B139" s="3" t="s">
        <v>14</v>
      </c>
      <c r="C139" s="12">
        <f>'[4]Realisasi Hilirisasi'!$E$42</f>
        <v>19.25</v>
      </c>
      <c r="D139" s="7">
        <f>'[4]Realisasi Hilirisasi'!$F$42</f>
        <v>312500000</v>
      </c>
      <c r="E139" s="5">
        <f>'[4]Realisasi Hilirisasi'!$G$42</f>
        <v>15625000</v>
      </c>
      <c r="F139" s="9">
        <f>IFERROR((InputData[[#This Row],[GROSS PROFIT]]/InputData[[#This Row],[REVENUE]])*100%,0)</f>
        <v>0.05</v>
      </c>
      <c r="G139" s="3" t="str">
        <f>VLOOKUP(InputData[[#This Row],[PRODUCT ID]],Master[],2,0)</f>
        <v>Fiber Optic Pole</v>
      </c>
      <c r="H139" s="3" t="str">
        <f>VLOOKUP(InputData[[#This Row],[PRODUCT ID]],Master[],3,0)</f>
        <v>KPI</v>
      </c>
      <c r="I139" s="3" t="str">
        <f>TEXT(InputData[[#This Row],[MONTH]],"MMMMMM")</f>
        <v>March</v>
      </c>
      <c r="J139" s="3">
        <f>YEAR(InputData[[#This Row],[MONTH]])</f>
        <v>2024</v>
      </c>
      <c r="K139" s="3" t="str">
        <f>"SMT-"&amp;CHOOSE(MONTH(InputData[[#This Row],[MONTH]]),1,1,1,1,1,1,2,2,2,2,2,2)</f>
        <v>SMT-1</v>
      </c>
      <c r="L139" s="48">
        <v>0</v>
      </c>
    </row>
    <row r="140" spans="1:12">
      <c r="A140" s="4">
        <v>45352</v>
      </c>
      <c r="B140" s="3" t="s">
        <v>19</v>
      </c>
      <c r="C140" s="12">
        <f>'[4]Realisasi Hilirisasi'!$E$44</f>
        <v>216.92221810205456</v>
      </c>
      <c r="D140" s="7">
        <f>'[4]Realisasi Hilirisasi'!$F$44</f>
        <v>4082379212</v>
      </c>
      <c r="E140" s="5">
        <f>'[4]Realisasi Hilirisasi'!$G$44</f>
        <v>60306221</v>
      </c>
      <c r="F140" s="9">
        <f>IFERROR((InputData[[#This Row],[GROSS PROFIT]]/InputData[[#This Row],[REVENUE]])*100%,0)</f>
        <v>1.4772322184752492E-2</v>
      </c>
      <c r="G140" s="3" t="str">
        <f>VLOOKUP(InputData[[#This Row],[PRODUCT ID]],Master[],2,0)</f>
        <v>Baja Ringan</v>
      </c>
      <c r="H140" s="3" t="str">
        <f>VLOOKUP(InputData[[#This Row],[PRODUCT ID]],Master[],3,0)</f>
        <v>KNI</v>
      </c>
      <c r="I140" s="3" t="str">
        <f>TEXT(InputData[[#This Row],[MONTH]],"MMMMMM")</f>
        <v>March</v>
      </c>
      <c r="J140" s="3">
        <f>YEAR(InputData[[#This Row],[MONTH]])</f>
        <v>2024</v>
      </c>
      <c r="K140" s="3" t="str">
        <f>"SMT-"&amp;CHOOSE(MONTH(InputData[[#This Row],[MONTH]]),1,1,1,1,1,1,2,2,2,2,2,2)</f>
        <v>SMT-1</v>
      </c>
      <c r="L140" s="48">
        <f>'[4]Target Hilirisasi 2024'!$G$11</f>
        <v>450</v>
      </c>
    </row>
    <row r="141" spans="1:12">
      <c r="A141" s="4">
        <v>45352</v>
      </c>
      <c r="B141" s="3" t="s">
        <v>20</v>
      </c>
      <c r="C141" s="12">
        <f>'[4]Realisasi Hilirisasi'!$E$47</f>
        <v>7.7024999999999997</v>
      </c>
      <c r="D141" s="7">
        <f>'[4]Realisasi Hilirisasi'!$F$47</f>
        <v>110600000</v>
      </c>
      <c r="E141" s="5">
        <f>'[4]Realisasi Hilirisasi'!$G$47</f>
        <v>14163063.063063074</v>
      </c>
      <c r="F141" s="9">
        <f>IFERROR((InputData[[#This Row],[GROSS PROFIT]]/InputData[[#This Row],[REVENUE]])*100%,0)</f>
        <v>0.12805662805662815</v>
      </c>
      <c r="G141" s="3" t="str">
        <f>VLOOKUP(InputData[[#This Row],[PRODUCT ID]],Master[],2,0)</f>
        <v>CNP</v>
      </c>
      <c r="H141" s="3" t="str">
        <f>VLOOKUP(InputData[[#This Row],[PRODUCT ID]],Master[],3,0)</f>
        <v>KNI</v>
      </c>
      <c r="I141" s="3" t="str">
        <f>TEXT(InputData[[#This Row],[MONTH]],"MMMMMM")</f>
        <v>March</v>
      </c>
      <c r="J141" s="3">
        <f>YEAR(InputData[[#This Row],[MONTH]])</f>
        <v>2024</v>
      </c>
      <c r="K141" s="3" t="str">
        <f>"SMT-"&amp;CHOOSE(MONTH(InputData[[#This Row],[MONTH]]),1,1,1,1,1,1,2,2,2,2,2,2)</f>
        <v>SMT-1</v>
      </c>
      <c r="L141" s="48">
        <v>0</v>
      </c>
    </row>
    <row r="142" spans="1:12">
      <c r="A142" s="4">
        <v>45352</v>
      </c>
      <c r="B142" s="3" t="s">
        <v>21</v>
      </c>
      <c r="C142" s="11"/>
      <c r="F142" s="5">
        <f>IFERROR((InputData[[#This Row],[GROSS PROFIT]]/InputData[[#This Row],[REVENUE]])*100%,0)</f>
        <v>0</v>
      </c>
      <c r="G142" s="3" t="str">
        <f>VLOOKUP(InputData[[#This Row],[PRODUCT ID]],Master[],2,0)</f>
        <v>Welded Beam</v>
      </c>
      <c r="H142" s="3" t="str">
        <f>VLOOKUP(InputData[[#This Row],[PRODUCT ID]],Master[],3,0)</f>
        <v>KPdP</v>
      </c>
      <c r="I142" s="3" t="str">
        <f>TEXT(InputData[[#This Row],[MONTH]],"MMMMMM")</f>
        <v>March</v>
      </c>
      <c r="J142" s="3">
        <f>YEAR(InputData[[#This Row],[MONTH]])</f>
        <v>2024</v>
      </c>
      <c r="K142" s="3" t="str">
        <f>"SMT-"&amp;CHOOSE(MONTH(InputData[[#This Row],[MONTH]]),1,1,1,1,1,1,2,2,2,2,2,2)</f>
        <v>SMT-1</v>
      </c>
      <c r="L142" s="48">
        <f>'[4]Target Hilirisasi 2024'!$G$12</f>
        <v>250</v>
      </c>
    </row>
    <row r="143" spans="1:12">
      <c r="A143" s="4">
        <v>45383</v>
      </c>
      <c r="B143" s="3" t="s">
        <v>9</v>
      </c>
      <c r="C143" s="11">
        <f>'[5]Realisasi Hilirisasi'!E$51</f>
        <v>175.17462012697192</v>
      </c>
      <c r="D143" s="7">
        <f>'[5]Realisasi Hilirisasi'!F$51</f>
        <v>4552788377.1000004</v>
      </c>
      <c r="E143" s="7">
        <f>'[5]Realisasi Hilirisasi'!G$51</f>
        <v>262761930.1904583</v>
      </c>
      <c r="F143" s="51">
        <f>IFERROR((InputData[[#This Row],[GROSS PROFIT]]/InputData[[#This Row],[REVENUE]])*100%,0)</f>
        <v>5.7714505579068959E-2</v>
      </c>
      <c r="G143" s="3" t="str">
        <f>VLOOKUP(InputData[[#This Row],[PRODUCT ID]],Master[],2,0)</f>
        <v>Steel Structure</v>
      </c>
      <c r="H143" s="3" t="str">
        <f>VLOOKUP(InputData[[#This Row],[PRODUCT ID]],Master[],3,0)</f>
        <v>KBK</v>
      </c>
      <c r="I143" s="3" t="str">
        <f>TEXT(InputData[[#This Row],[MONTH]],"MMMMMM")</f>
        <v>April</v>
      </c>
      <c r="J143" s="3">
        <f>YEAR(InputData[[#This Row],[MONTH]])</f>
        <v>2024</v>
      </c>
      <c r="K143" s="3" t="str">
        <f>"SMT-"&amp;CHOOSE(MONTH(InputData[[#This Row],[MONTH]]),1,1,1,1,1,1,2,2,2,2,2,2)</f>
        <v>SMT-1</v>
      </c>
      <c r="L143" s="20">
        <v>800</v>
      </c>
    </row>
    <row r="144" spans="1:12">
      <c r="A144" s="4">
        <v>45383</v>
      </c>
      <c r="B144" s="3" t="s">
        <v>11</v>
      </c>
      <c r="C144" s="11">
        <f>'[5]Realisasi Hilirisasi'!E$53</f>
        <v>476.13958736842102</v>
      </c>
      <c r="D144" s="7">
        <f>'[5]Realisasi Hilirisasi'!F$53</f>
        <v>7979118774</v>
      </c>
      <c r="E144" s="7">
        <f>'[5]Realisasi Hilirisasi'!G$53</f>
        <v>573011393.6842103</v>
      </c>
      <c r="F144" s="51">
        <f>IFERROR((InputData[[#This Row],[GROSS PROFIT]]/InputData[[#This Row],[REVENUE]])*100%,0)</f>
        <v>7.1813869415175383E-2</v>
      </c>
      <c r="G144" s="3" t="str">
        <f>VLOOKUP(InputData[[#This Row],[PRODUCT ID]],Master[],2,0)</f>
        <v>Steel Creative &amp; Component</v>
      </c>
      <c r="H144" s="3" t="str">
        <f>VLOOKUP(InputData[[#This Row],[PRODUCT ID]],Master[],3,0)</f>
        <v>KBK</v>
      </c>
      <c r="I144" s="3" t="str">
        <f>TEXT(InputData[[#This Row],[MONTH]],"MMMMMM")</f>
        <v>April</v>
      </c>
      <c r="J144" s="3">
        <f>YEAR(InputData[[#This Row],[MONTH]])</f>
        <v>2024</v>
      </c>
      <c r="K144" s="3" t="str">
        <f>"SMT-"&amp;CHOOSE(MONTH(InputData[[#This Row],[MONTH]]),1,1,1,1,1,1,2,2,2,2,2,2)</f>
        <v>SMT-1</v>
      </c>
      <c r="L144" s="20"/>
    </row>
    <row r="145" spans="1:12">
      <c r="A145" s="4">
        <v>45383</v>
      </c>
      <c r="B145" s="3" t="s">
        <v>12</v>
      </c>
      <c r="C145" s="11">
        <f>'[6]Realisasi Hilirisasi'!E$55</f>
        <v>0</v>
      </c>
      <c r="D145" s="11">
        <f>'[6]Realisasi Hilirisasi'!F$55</f>
        <v>0</v>
      </c>
      <c r="E145" s="11">
        <f>'[6]Realisasi Hilirisasi'!G$55</f>
        <v>0</v>
      </c>
      <c r="F145" s="5">
        <f>IFERROR((InputData[[#This Row],[GROSS PROFIT]]/InputData[[#This Row],[REVENUE]])*100%,0)</f>
        <v>0</v>
      </c>
      <c r="G145" s="3" t="str">
        <f>VLOOKUP(InputData[[#This Row],[PRODUCT ID]],Master[],2,0)</f>
        <v>Electric Pole</v>
      </c>
      <c r="H145" s="3" t="str">
        <f>VLOOKUP(InputData[[#This Row],[PRODUCT ID]],Master[],3,0)</f>
        <v>KPI</v>
      </c>
      <c r="I145" s="3" t="str">
        <f>TEXT(InputData[[#This Row],[MONTH]],"MMMMMM")</f>
        <v>April</v>
      </c>
      <c r="J145" s="3">
        <f>YEAR(InputData[[#This Row],[MONTH]])</f>
        <v>2024</v>
      </c>
      <c r="K145" s="3" t="str">
        <f>"SMT-"&amp;CHOOSE(MONTH(InputData[[#This Row],[MONTH]]),1,1,1,1,1,1,2,2,2,2,2,2)</f>
        <v>SMT-1</v>
      </c>
      <c r="L145" s="20">
        <v>550</v>
      </c>
    </row>
    <row r="146" spans="1:12">
      <c r="A146" s="4">
        <v>45383</v>
      </c>
      <c r="B146" s="3" t="s">
        <v>14</v>
      </c>
      <c r="C146" s="11">
        <f>'[6]Realisasi Hilirisasi'!E$56</f>
        <v>0</v>
      </c>
      <c r="D146" s="11">
        <f>'[6]Realisasi Hilirisasi'!F$56</f>
        <v>0</v>
      </c>
      <c r="E146" s="11">
        <f>'[6]Realisasi Hilirisasi'!G$56</f>
        <v>0</v>
      </c>
      <c r="F146" s="5">
        <f>IFERROR((InputData[[#This Row],[GROSS PROFIT]]/InputData[[#This Row],[REVENUE]])*100%,0)</f>
        <v>0</v>
      </c>
      <c r="G146" s="3" t="str">
        <f>VLOOKUP(InputData[[#This Row],[PRODUCT ID]],Master[],2,0)</f>
        <v>Fiber Optic Pole</v>
      </c>
      <c r="H146" s="3" t="str">
        <f>VLOOKUP(InputData[[#This Row],[PRODUCT ID]],Master[],3,0)</f>
        <v>KPI</v>
      </c>
      <c r="I146" s="3" t="str">
        <f>TEXT(InputData[[#This Row],[MONTH]],"MMMMMM")</f>
        <v>April</v>
      </c>
      <c r="J146" s="3">
        <f>YEAR(InputData[[#This Row],[MONTH]])</f>
        <v>2024</v>
      </c>
      <c r="K146" s="3" t="str">
        <f>"SMT-"&amp;CHOOSE(MONTH(InputData[[#This Row],[MONTH]]),1,1,1,1,1,1,2,2,2,2,2,2)</f>
        <v>SMT-1</v>
      </c>
      <c r="L146" s="20"/>
    </row>
    <row r="147" spans="1:12">
      <c r="A147" s="4">
        <v>45383</v>
      </c>
      <c r="B147" s="3" t="s">
        <v>17</v>
      </c>
      <c r="C147" s="11">
        <f>'[6]Realisasi Hilirisasi'!$E$57</f>
        <v>0</v>
      </c>
      <c r="D147" s="11">
        <f>'[6]Realisasi Hilirisasi'!$E$57</f>
        <v>0</v>
      </c>
      <c r="E147" s="11">
        <f>'[6]Realisasi Hilirisasi'!$E$57</f>
        <v>0</v>
      </c>
      <c r="F147" s="5">
        <f>IFERROR((InputData[[#This Row],[GROSS PROFIT]]/InputData[[#This Row],[REVENUE]])*100%,0)</f>
        <v>0</v>
      </c>
      <c r="G147" s="3" t="str">
        <f>VLOOKUP(InputData[[#This Row],[PRODUCT ID]],Master[],2,0)</f>
        <v>Bends Pipe</v>
      </c>
      <c r="H147" s="3" t="str">
        <f>VLOOKUP(InputData[[#This Row],[PRODUCT ID]],Master[],3,0)</f>
        <v>KPI</v>
      </c>
      <c r="I147" s="3" t="str">
        <f>TEXT(InputData[[#This Row],[MONTH]],"MMMMMM")</f>
        <v>April</v>
      </c>
      <c r="J147" s="3">
        <f>YEAR(InputData[[#This Row],[MONTH]])</f>
        <v>2024</v>
      </c>
      <c r="K147" s="3" t="str">
        <f>"SMT-"&amp;CHOOSE(MONTH(InputData[[#This Row],[MONTH]]),1,1,1,1,1,1,2,2,2,2,2,2)</f>
        <v>SMT-1</v>
      </c>
      <c r="L147" s="20"/>
    </row>
    <row r="148" spans="1:12">
      <c r="A148" s="4">
        <v>45383</v>
      </c>
      <c r="B148" s="3" t="s">
        <v>19</v>
      </c>
      <c r="C148" s="11">
        <f>'[5]Realisasi Hilirisasi'!E$58</f>
        <v>284.70317705086131</v>
      </c>
      <c r="D148" s="7">
        <f>'[5]Realisasi Hilirisasi'!F$58</f>
        <v>5352419728.5561924</v>
      </c>
      <c r="E148" s="7">
        <f>'[5]Realisasi Hilirisasi'!G$58</f>
        <v>80286295.928342879</v>
      </c>
      <c r="F148" s="51">
        <f>IFERROR((InputData[[#This Row],[GROSS PROFIT]]/InputData[[#This Row],[REVENUE]])*100%,0)</f>
        <v>1.4999999999999999E-2</v>
      </c>
      <c r="G148" s="3" t="str">
        <f>VLOOKUP(InputData[[#This Row],[PRODUCT ID]],Master[],2,0)</f>
        <v>Baja Ringan</v>
      </c>
      <c r="H148" s="3" t="str">
        <f>VLOOKUP(InputData[[#This Row],[PRODUCT ID]],Master[],3,0)</f>
        <v>KNI</v>
      </c>
      <c r="I148" s="3" t="str">
        <f>TEXT(InputData[[#This Row],[MONTH]],"MMMMMM")</f>
        <v>April</v>
      </c>
      <c r="J148" s="3">
        <f>YEAR(InputData[[#This Row],[MONTH]])</f>
        <v>2024</v>
      </c>
      <c r="K148" s="3" t="str">
        <f>"SMT-"&amp;CHOOSE(MONTH(InputData[[#This Row],[MONTH]]),1,1,1,1,1,1,2,2,2,2,2,2)</f>
        <v>SMT-1</v>
      </c>
      <c r="L148" s="20">
        <v>150</v>
      </c>
    </row>
    <row r="149" spans="1:12">
      <c r="A149" s="4">
        <v>45383</v>
      </c>
      <c r="B149" s="3" t="s">
        <v>20</v>
      </c>
      <c r="C149" s="11">
        <f>'[5]Realisasi Hilirisasi'!E$61</f>
        <v>32.713560000000001</v>
      </c>
      <c r="D149" s="7">
        <f>'[5]Realisasi Hilirisasi'!F$61</f>
        <v>469733169.23076928</v>
      </c>
      <c r="E149" s="7">
        <f>'[5]Realisasi Hilirisasi'!G$61</f>
        <v>46973316.923076928</v>
      </c>
      <c r="F149" s="51">
        <f>IFERROR((InputData[[#This Row],[GROSS PROFIT]]/InputData[[#This Row],[REVENUE]])*100%,0)</f>
        <v>0.1</v>
      </c>
      <c r="G149" s="3" t="str">
        <f>VLOOKUP(InputData[[#This Row],[PRODUCT ID]],Master[],2,0)</f>
        <v>CNP</v>
      </c>
      <c r="H149" s="3" t="str">
        <f>VLOOKUP(InputData[[#This Row],[PRODUCT ID]],Master[],3,0)</f>
        <v>KNI</v>
      </c>
      <c r="I149" s="3" t="str">
        <f>TEXT(InputData[[#This Row],[MONTH]],"MMMMMM")</f>
        <v>April</v>
      </c>
      <c r="J149" s="3">
        <f>YEAR(InputData[[#This Row],[MONTH]])</f>
        <v>2024</v>
      </c>
      <c r="K149" s="3" t="str">
        <f>"SMT-"&amp;CHOOSE(MONTH(InputData[[#This Row],[MONTH]]),1,1,1,1,1,1,2,2,2,2,2,2)</f>
        <v>SMT-1</v>
      </c>
      <c r="L149" s="20"/>
    </row>
    <row r="150" spans="1:12">
      <c r="A150" s="4">
        <v>45383</v>
      </c>
      <c r="B150" s="3" t="s">
        <v>21</v>
      </c>
      <c r="C150" s="11">
        <f>'[6]Realisasi Hilirisasi'!E$63</f>
        <v>0</v>
      </c>
      <c r="D150" s="6">
        <f>'[6]Realisasi Hilirisasi'!F$63</f>
        <v>0</v>
      </c>
      <c r="E150" s="6">
        <f>'[6]Realisasi Hilirisasi'!G$63</f>
        <v>0</v>
      </c>
      <c r="F150" s="5">
        <f>IFERROR((InputData[[#This Row],[GROSS PROFIT]]/InputData[[#This Row],[REVENUE]])*100%,0)</f>
        <v>0</v>
      </c>
      <c r="G150" s="3" t="str">
        <f>VLOOKUP(InputData[[#This Row],[PRODUCT ID]],Master[],2,0)</f>
        <v>Welded Beam</v>
      </c>
      <c r="H150" s="3" t="str">
        <f>VLOOKUP(InputData[[#This Row],[PRODUCT ID]],Master[],3,0)</f>
        <v>KPdP</v>
      </c>
      <c r="I150" s="3" t="str">
        <f>TEXT(InputData[[#This Row],[MONTH]],"MMMMMM")</f>
        <v>April</v>
      </c>
      <c r="J150" s="3">
        <f>YEAR(InputData[[#This Row],[MONTH]])</f>
        <v>2024</v>
      </c>
      <c r="K150" s="3" t="str">
        <f>"SMT-"&amp;CHOOSE(MONTH(InputData[[#This Row],[MONTH]]),1,1,1,1,1,1,2,2,2,2,2,2)</f>
        <v>SMT-1</v>
      </c>
      <c r="L150" s="20">
        <v>175</v>
      </c>
    </row>
    <row r="151" spans="1:12">
      <c r="A151" s="4">
        <v>45413</v>
      </c>
      <c r="B151" s="3" t="s">
        <v>11</v>
      </c>
      <c r="C151" s="11">
        <f>'[7]Realisasi Hilirisasi'!E$67</f>
        <v>577.33724210526316</v>
      </c>
      <c r="D151" s="7">
        <f>'[7]Realisasi Hilirisasi'!F$67</f>
        <v>9294762864.512001</v>
      </c>
      <c r="E151" s="7">
        <f>'[7]Realisasi Hilirisasi'!G$67</f>
        <v>675992403.92559981</v>
      </c>
      <c r="F151" s="51">
        <f>IFERROR((InputData[[#This Row],[GROSS PROFIT]]/InputData[[#This Row],[REVENUE]])*100%,0)</f>
        <v>7.2728310961711784E-2</v>
      </c>
      <c r="G151" s="3" t="str">
        <f>VLOOKUP(InputData[[#This Row],[PRODUCT ID]],Master[],2,0)</f>
        <v>Steel Creative &amp; Component</v>
      </c>
      <c r="H151" s="3" t="str">
        <f>VLOOKUP(InputData[[#This Row],[PRODUCT ID]],Master[],3,0)</f>
        <v>KBK</v>
      </c>
      <c r="I151" s="3" t="str">
        <f>TEXT(InputData[[#This Row],[MONTH]],"MMMMMM")</f>
        <v>May</v>
      </c>
      <c r="J151" s="3">
        <f>YEAR(InputData[[#This Row],[MONTH]])</f>
        <v>2024</v>
      </c>
      <c r="K151" s="3" t="str">
        <f>"SMT-"&amp;CHOOSE(MONTH(InputData[[#This Row],[MONTH]]),1,1,1,1,1,1,2,2,2,2,2,2)</f>
        <v>SMT-1</v>
      </c>
      <c r="L151" s="20">
        <v>800</v>
      </c>
    </row>
    <row r="152" spans="1:12">
      <c r="A152" s="4">
        <v>45413</v>
      </c>
      <c r="B152" s="3" t="s">
        <v>12</v>
      </c>
      <c r="C152" s="11">
        <f>'[7]Realisasi Hilirisasi'!E69</f>
        <v>456</v>
      </c>
      <c r="D152" s="7">
        <f>'[7]Realisasi Hilirisasi'!F69</f>
        <v>8396014800</v>
      </c>
      <c r="E152" s="7">
        <f>'[7]Realisasi Hilirisasi'!G69</f>
        <v>113346199.80000001</v>
      </c>
      <c r="F152" s="51">
        <f>IFERROR((InputData[[#This Row],[GROSS PROFIT]]/InputData[[#This Row],[REVENUE]])*100%,0)</f>
        <v>1.3500000000000002E-2</v>
      </c>
      <c r="G152" s="3" t="str">
        <f>VLOOKUP(InputData[[#This Row],[PRODUCT ID]],Master[],2,0)</f>
        <v>Electric Pole</v>
      </c>
      <c r="H152" s="3" t="str">
        <f>VLOOKUP(InputData[[#This Row],[PRODUCT ID]],Master[],3,0)</f>
        <v>KPI</v>
      </c>
      <c r="I152" s="3" t="str">
        <f>TEXT(InputData[[#This Row],[MONTH]],"MMMMMM")</f>
        <v>May</v>
      </c>
      <c r="J152" s="3">
        <f>YEAR(InputData[[#This Row],[MONTH]])</f>
        <v>2024</v>
      </c>
      <c r="K152" s="3" t="str">
        <f>"SMT-"&amp;CHOOSE(MONTH(InputData[[#This Row],[MONTH]]),1,1,1,1,1,1,2,2,2,2,2,2)</f>
        <v>SMT-1</v>
      </c>
      <c r="L152" s="20">
        <v>750</v>
      </c>
    </row>
    <row r="153" spans="1:12">
      <c r="A153" s="4">
        <v>45413</v>
      </c>
      <c r="B153" s="3" t="s">
        <v>14</v>
      </c>
      <c r="C153" s="11">
        <f>'[7]Realisasi Hilirisasi'!E70</f>
        <v>7.7</v>
      </c>
      <c r="D153" s="7">
        <f>'[7]Realisasi Hilirisasi'!F70</f>
        <v>125001800</v>
      </c>
      <c r="E153" s="7">
        <f>'[7]Realisasi Hilirisasi'!G70</f>
        <v>585200</v>
      </c>
      <c r="F153" s="51">
        <f>IFERROR((InputData[[#This Row],[GROSS PROFIT]]/InputData[[#This Row],[REVENUE]])*100%,0)</f>
        <v>4.6815325859307626E-3</v>
      </c>
      <c r="G153" s="3" t="str">
        <f>VLOOKUP(InputData[[#This Row],[PRODUCT ID]],Master[],2,0)</f>
        <v>Fiber Optic Pole</v>
      </c>
      <c r="H153" s="3" t="str">
        <f>VLOOKUP(InputData[[#This Row],[PRODUCT ID]],Master[],3,0)</f>
        <v>KPI</v>
      </c>
      <c r="I153" s="3" t="str">
        <f>TEXT(InputData[[#This Row],[MONTH]],"MMMMMM")</f>
        <v>May</v>
      </c>
      <c r="J153" s="3">
        <f>YEAR(InputData[[#This Row],[MONTH]])</f>
        <v>2024</v>
      </c>
      <c r="K153" s="3" t="str">
        <f>"SMT-"&amp;CHOOSE(MONTH(InputData[[#This Row],[MONTH]]),1,1,1,1,1,1,2,2,2,2,2,2)</f>
        <v>SMT-1</v>
      </c>
      <c r="L153" s="20"/>
    </row>
    <row r="154" spans="1:12">
      <c r="A154" s="4">
        <v>45413</v>
      </c>
      <c r="B154" s="3" t="s">
        <v>19</v>
      </c>
      <c r="C154" s="11">
        <f>'[7]Realisasi Hilirisasi'!E$72</f>
        <v>287.34297729308145</v>
      </c>
      <c r="D154" s="7">
        <f>'[7]Realisasi Hilirisasi'!F$72</f>
        <v>4818241221.4438095</v>
      </c>
      <c r="E154" s="7">
        <f>'[7]Realisasi Hilirisasi'!G$72</f>
        <v>69997872.071657121</v>
      </c>
      <c r="F154" s="51">
        <f>IFERROR((InputData[[#This Row],[GROSS PROFIT]]/InputData[[#This Row],[REVENUE]])*100%,0)</f>
        <v>1.4527681129813156E-2</v>
      </c>
      <c r="G154" s="3" t="str">
        <f>VLOOKUP(InputData[[#This Row],[PRODUCT ID]],Master[],2,0)</f>
        <v>Baja Ringan</v>
      </c>
      <c r="H154" s="3" t="str">
        <f>VLOOKUP(InputData[[#This Row],[PRODUCT ID]],Master[],3,0)</f>
        <v>KNI</v>
      </c>
      <c r="I154" s="3" t="str">
        <f>TEXT(InputData[[#This Row],[MONTH]],"MMMMMM")</f>
        <v>May</v>
      </c>
      <c r="J154" s="3">
        <f>YEAR(InputData[[#This Row],[MONTH]])</f>
        <v>2024</v>
      </c>
      <c r="K154" s="3" t="str">
        <f>"SMT-"&amp;CHOOSE(MONTH(InputData[[#This Row],[MONTH]]),1,1,1,1,1,1,2,2,2,2,2,2)</f>
        <v>SMT-1</v>
      </c>
      <c r="L154" s="20">
        <v>450</v>
      </c>
    </row>
    <row r="155" spans="1:12">
      <c r="A155" s="4">
        <v>45413</v>
      </c>
      <c r="B155" s="3" t="s">
        <v>20</v>
      </c>
      <c r="C155" s="11">
        <f>'[7]Realisasi Hilirisasi'!E$75</f>
        <v>0.88500000000000001</v>
      </c>
      <c r="D155" s="7">
        <f>'[7]Realisasi Hilirisasi'!F$75</f>
        <v>-16043042.230769277</v>
      </c>
      <c r="E155" s="7">
        <f>'[7]Realisasi Hilirisasi'!G$75</f>
        <v>-5240396.9951490052</v>
      </c>
      <c r="F155" s="51">
        <f>IFERROR((InputData[[#This Row],[GROSS PROFIT]]/InputData[[#This Row],[REVENUE]])*100%,0)</f>
        <v>0.32664608867626999</v>
      </c>
      <c r="G155" s="3" t="str">
        <f>VLOOKUP(InputData[[#This Row],[PRODUCT ID]],Master[],2,0)</f>
        <v>CNP</v>
      </c>
      <c r="H155" s="3" t="str">
        <f>VLOOKUP(InputData[[#This Row],[PRODUCT ID]],Master[],3,0)</f>
        <v>KNI</v>
      </c>
      <c r="I155" s="3" t="str">
        <f>TEXT(InputData[[#This Row],[MONTH]],"MMMMMM")</f>
        <v>May</v>
      </c>
      <c r="J155" s="3">
        <f>YEAR(InputData[[#This Row],[MONTH]])</f>
        <v>2024</v>
      </c>
      <c r="K155" s="3" t="str">
        <f>"SMT-"&amp;CHOOSE(MONTH(InputData[[#This Row],[MONTH]]),1,1,1,1,1,1,2,2,2,2,2,2)</f>
        <v>SMT-1</v>
      </c>
      <c r="L155" s="20"/>
    </row>
    <row r="156" spans="1:12">
      <c r="A156" s="4">
        <v>45413</v>
      </c>
      <c r="B156" s="3" t="s">
        <v>21</v>
      </c>
      <c r="C156" s="6">
        <f>'[8]Realisasi Hilirisasi'!E$77</f>
        <v>0</v>
      </c>
      <c r="D156" s="6">
        <f>'[8]Realisasi Hilirisasi'!F$77</f>
        <v>0</v>
      </c>
      <c r="E156" s="6">
        <f>'[8]Realisasi Hilirisasi'!G$77</f>
        <v>0</v>
      </c>
      <c r="F156" s="7">
        <f>IFERROR((InputData[[#This Row],[GROSS PROFIT]]/InputData[[#This Row],[REVENUE]])*100%,0)</f>
        <v>0</v>
      </c>
      <c r="G156" s="3" t="str">
        <f>VLOOKUP(InputData[[#This Row],[PRODUCT ID]],Master[],2,0)</f>
        <v>Welded Beam</v>
      </c>
      <c r="H156" s="3" t="str">
        <f>VLOOKUP(InputData[[#This Row],[PRODUCT ID]],Master[],3,0)</f>
        <v>KPdP</v>
      </c>
      <c r="I156" s="3" t="str">
        <f>TEXT(InputData[[#This Row],[MONTH]],"MMMMMM")</f>
        <v>May</v>
      </c>
      <c r="J156" s="3">
        <f>YEAR(InputData[[#This Row],[MONTH]])</f>
        <v>2024</v>
      </c>
      <c r="K156" s="3" t="str">
        <f>"SMT-"&amp;CHOOSE(MONTH(InputData[[#This Row],[MONTH]]),1,1,1,1,1,1,2,2,2,2,2,2)</f>
        <v>SMT-1</v>
      </c>
      <c r="L156" s="20">
        <v>200</v>
      </c>
    </row>
    <row r="157" spans="1:12">
      <c r="A157" s="4">
        <v>45444</v>
      </c>
      <c r="B157" s="3" t="s">
        <v>4</v>
      </c>
      <c r="C157" s="11">
        <f>'[8]Realisasi Hilirisasi'!E$78</f>
        <v>8.8680000000000003</v>
      </c>
      <c r="D157" s="7">
        <f>'[8]Realisasi Hilirisasi'!F$78</f>
        <v>202312064.06</v>
      </c>
      <c r="E157" s="7">
        <f>'[8]Realisasi Hilirisasi'!G$78</f>
        <v>13302000</v>
      </c>
      <c r="F157" s="51">
        <f>IFERROR((InputData[[#This Row],[GROSS PROFIT]]/InputData[[#This Row],[REVENUE]])*100%,0)</f>
        <v>6.5749909980924351E-2</v>
      </c>
      <c r="G157" s="3" t="str">
        <f>VLOOKUP(InputData[[#This Row],[PRODUCT ID]],Master[],2,0)</f>
        <v>Tower</v>
      </c>
      <c r="H157" s="3" t="str">
        <f>VLOOKUP(InputData[[#This Row],[PRODUCT ID]],Master[],3,0)</f>
        <v>KBK</v>
      </c>
      <c r="I157" s="3" t="str">
        <f>TEXT(InputData[[#This Row],[MONTH]],"MMMMMM")</f>
        <v>June</v>
      </c>
      <c r="J157" s="3">
        <f>YEAR(InputData[[#This Row],[MONTH]])</f>
        <v>2024</v>
      </c>
      <c r="K157" s="3" t="str">
        <f>"SMT-"&amp;CHOOSE(MONTH(InputData[[#This Row],[MONTH]]),1,1,1,1,1,1,2,2,2,2,2,2)</f>
        <v>SMT-1</v>
      </c>
      <c r="L157" s="20">
        <v>900</v>
      </c>
    </row>
    <row r="158" spans="1:12">
      <c r="A158" s="4">
        <v>45444</v>
      </c>
      <c r="B158" s="3" t="s">
        <v>9</v>
      </c>
      <c r="C158" s="11">
        <f>'[8]Realisasi Hilirisasi'!E$79</f>
        <v>205.05850590769228</v>
      </c>
      <c r="D158" s="7">
        <f>'[8]Realisasi Hilirisasi'!F$79</f>
        <v>6664401442</v>
      </c>
      <c r="E158" s="5">
        <f>'[8]Realisasi Hilirisasi'!G$79</f>
        <v>333220072.10000008</v>
      </c>
      <c r="F158" s="51">
        <f>IFERROR((InputData[[#This Row],[GROSS PROFIT]]/InputData[[#This Row],[REVENUE]])*100%,0)</f>
        <v>5.000000000000001E-2</v>
      </c>
      <c r="G158" s="3" t="str">
        <f>VLOOKUP(InputData[[#This Row],[PRODUCT ID]],Master[],2,0)</f>
        <v>Steel Structure</v>
      </c>
      <c r="H158" s="3" t="str">
        <f>VLOOKUP(InputData[[#This Row],[PRODUCT ID]],Master[],3,0)</f>
        <v>KBK</v>
      </c>
      <c r="I158" s="3" t="str">
        <f>TEXT(InputData[[#This Row],[MONTH]],"MMMMMM")</f>
        <v>June</v>
      </c>
      <c r="J158" s="3">
        <f>YEAR(InputData[[#This Row],[MONTH]])</f>
        <v>2024</v>
      </c>
      <c r="K158" s="3" t="str">
        <f>"SMT-"&amp;CHOOSE(MONTH(InputData[[#This Row],[MONTH]]),1,1,1,1,1,1,2,2,2,2,2,2)</f>
        <v>SMT-1</v>
      </c>
      <c r="L158" s="20"/>
    </row>
    <row r="159" spans="1:12">
      <c r="A159" s="4">
        <v>45444</v>
      </c>
      <c r="B159" s="3" t="s">
        <v>22</v>
      </c>
      <c r="C159" s="11">
        <f>'[8]Realisasi Hilirisasi'!E$80</f>
        <v>138</v>
      </c>
      <c r="D159" s="7">
        <f>'[8]Realisasi Hilirisasi'!F$80</f>
        <v>3819060000</v>
      </c>
      <c r="E159" s="5">
        <f>'[8]Realisasi Hilirisasi'!G$80</f>
        <v>114571800</v>
      </c>
      <c r="F159" s="51">
        <f>IFERROR((InputData[[#This Row],[GROSS PROFIT]]/InputData[[#This Row],[REVENUE]])*100%,0)</f>
        <v>0.03</v>
      </c>
      <c r="G159" s="3" t="str">
        <f>VLOOKUP(InputData[[#This Row],[PRODUCT ID]],Master[],2,0)</f>
        <v>Modular</v>
      </c>
      <c r="H159" s="3" t="str">
        <f>VLOOKUP(InputData[[#This Row],[PRODUCT ID]],Master[],3,0)</f>
        <v>KBK</v>
      </c>
      <c r="I159" s="3" t="str">
        <f>TEXT(InputData[[#This Row],[MONTH]],"MMMMMM")</f>
        <v>June</v>
      </c>
      <c r="J159" s="3">
        <f>YEAR(InputData[[#This Row],[MONTH]])</f>
        <v>2024</v>
      </c>
      <c r="K159" s="3" t="str">
        <f>"SMT-"&amp;CHOOSE(MONTH(InputData[[#This Row],[MONTH]]),1,1,1,1,1,1,2,2,2,2,2,2)</f>
        <v>SMT-1</v>
      </c>
      <c r="L159" s="20"/>
    </row>
    <row r="160" spans="1:12">
      <c r="A160" s="4">
        <v>45444</v>
      </c>
      <c r="B160" s="3" t="s">
        <v>11</v>
      </c>
      <c r="C160" s="11">
        <f>'[8]Realisasi Hilirisasi'!E$81</f>
        <v>329.3264342857143</v>
      </c>
      <c r="D160" s="7">
        <f>'[8]Realisasi Hilirisasi'!F$81</f>
        <v>4648120729.4499998</v>
      </c>
      <c r="E160" s="5">
        <f>'[8]Realisasi Hilirisasi'!G$81</f>
        <v>299278517.52750003</v>
      </c>
      <c r="F160" s="51">
        <f>IFERROR((InputData[[#This Row],[GROSS PROFIT]]/InputData[[#This Row],[REVENUE]])*100%,0)</f>
        <v>6.4386993141400797E-2</v>
      </c>
      <c r="G160" s="3" t="str">
        <f>VLOOKUP(InputData[[#This Row],[PRODUCT ID]],Master[],2,0)</f>
        <v>Steel Creative &amp; Component</v>
      </c>
      <c r="H160" s="3" t="str">
        <f>VLOOKUP(InputData[[#This Row],[PRODUCT ID]],Master[],3,0)</f>
        <v>KBK</v>
      </c>
      <c r="I160" s="3" t="str">
        <f>TEXT(InputData[[#This Row],[MONTH]],"MMMMMM")</f>
        <v>June</v>
      </c>
      <c r="J160" s="3">
        <f>YEAR(InputData[[#This Row],[MONTH]])</f>
        <v>2024</v>
      </c>
      <c r="K160" s="3" t="str">
        <f>"SMT-"&amp;CHOOSE(MONTH(InputData[[#This Row],[MONTH]]),1,1,1,1,1,1,2,2,2,2,2,2)</f>
        <v>SMT-1</v>
      </c>
      <c r="L160" s="20"/>
    </row>
    <row r="161" spans="1:12">
      <c r="A161" s="4">
        <v>45444</v>
      </c>
      <c r="B161" s="3" t="s">
        <v>12</v>
      </c>
      <c r="C161" s="11">
        <f>'[8]Realisasi Hilirisasi'!E$83</f>
        <v>262.03500000000003</v>
      </c>
      <c r="D161" s="7">
        <f>'[8]Realisasi Hilirisasi'!F$83</f>
        <v>5316840739</v>
      </c>
      <c r="E161" s="5">
        <f>'[8]Realisasi Hilirisasi'!G$83</f>
        <v>65246715</v>
      </c>
      <c r="F161" s="51">
        <f>IFERROR((InputData[[#This Row],[GROSS PROFIT]]/InputData[[#This Row],[REVENUE]])*100%,0)</f>
        <v>1.22717076179099E-2</v>
      </c>
      <c r="G161" s="3" t="str">
        <f>VLOOKUP(InputData[[#This Row],[PRODUCT ID]],Master[],2,0)</f>
        <v>Electric Pole</v>
      </c>
      <c r="H161" s="3" t="str">
        <f>VLOOKUP(InputData[[#This Row],[PRODUCT ID]],Master[],3,0)</f>
        <v>KPI</v>
      </c>
      <c r="I161" s="3" t="str">
        <f>TEXT(InputData[[#This Row],[MONTH]],"MMMMMM")</f>
        <v>June</v>
      </c>
      <c r="J161" s="3">
        <f>YEAR(InputData[[#This Row],[MONTH]])</f>
        <v>2024</v>
      </c>
      <c r="K161" s="3" t="str">
        <f>"SMT-"&amp;CHOOSE(MONTH(InputData[[#This Row],[MONTH]]),1,1,1,1,1,1,2,2,2,2,2,2)</f>
        <v>SMT-1</v>
      </c>
      <c r="L161" s="20">
        <v>775</v>
      </c>
    </row>
    <row r="162" spans="1:12">
      <c r="A162" s="4">
        <v>45444</v>
      </c>
      <c r="B162" s="3" t="s">
        <v>19</v>
      </c>
      <c r="C162" s="11">
        <f>'[8]Realisasi Hilirisasi'!E$86</f>
        <v>216.82995956747564</v>
      </c>
      <c r="D162" s="7">
        <f>'[8]Realisasi Hilirisasi'!F$86</f>
        <v>3786322262</v>
      </c>
      <c r="E162" s="5">
        <f>'[8]Realisasi Hilirisasi'!G$86</f>
        <v>55901376</v>
      </c>
      <c r="F162" s="51">
        <f>IFERROR((InputData[[#This Row],[GROSS PROFIT]]/InputData[[#This Row],[REVENUE]])*100%,0)</f>
        <v>1.4764030141077305E-2</v>
      </c>
      <c r="G162" s="3" t="str">
        <f>VLOOKUP(InputData[[#This Row],[PRODUCT ID]],Master[],2,0)</f>
        <v>Baja Ringan</v>
      </c>
      <c r="H162" s="3" t="str">
        <f>VLOOKUP(InputData[[#This Row],[PRODUCT ID]],Master[],3,0)</f>
        <v>KNI</v>
      </c>
      <c r="I162" s="3" t="str">
        <f>TEXT(InputData[[#This Row],[MONTH]],"MMMMMM")</f>
        <v>June</v>
      </c>
      <c r="J162" s="3">
        <f>YEAR(InputData[[#This Row],[MONTH]])</f>
        <v>2024</v>
      </c>
      <c r="K162" s="3" t="str">
        <f>"SMT-"&amp;CHOOSE(MONTH(InputData[[#This Row],[MONTH]]),1,1,1,1,1,1,2,2,2,2,2,2)</f>
        <v>SMT-1</v>
      </c>
      <c r="L162" s="20">
        <v>550</v>
      </c>
    </row>
    <row r="163" spans="1:12">
      <c r="A163" s="4">
        <v>45444</v>
      </c>
      <c r="B163" s="3" t="s">
        <v>20</v>
      </c>
      <c r="C163" s="11">
        <f>'[8]Realisasi Hilirisasi'!E$89</f>
        <v>23.15814</v>
      </c>
      <c r="D163" s="7">
        <f>'[8]Realisasi Hilirisasi'!F$89</f>
        <v>325919258</v>
      </c>
      <c r="E163" s="5">
        <f>'[8]Realisasi Hilirisasi'!G$89</f>
        <v>51886375.117117152</v>
      </c>
      <c r="F163" s="51">
        <f>IFERROR((InputData[[#This Row],[GROSS PROFIT]]/InputData[[#This Row],[REVENUE]])*100%,0)</f>
        <v>0.15920008972626329</v>
      </c>
      <c r="G163" s="3" t="str">
        <f>VLOOKUP(InputData[[#This Row],[PRODUCT ID]],Master[],2,0)</f>
        <v>CNP</v>
      </c>
      <c r="H163" s="3" t="str">
        <f>VLOOKUP(InputData[[#This Row],[PRODUCT ID]],Master[],3,0)</f>
        <v>KNI</v>
      </c>
      <c r="I163" s="3" t="str">
        <f>TEXT(InputData[[#This Row],[MONTH]],"MMMMMM")</f>
        <v>June</v>
      </c>
      <c r="J163" s="3">
        <f>YEAR(InputData[[#This Row],[MONTH]])</f>
        <v>2024</v>
      </c>
      <c r="K163" s="3" t="str">
        <f>"SMT-"&amp;CHOOSE(MONTH(InputData[[#This Row],[MONTH]]),1,1,1,1,1,1,2,2,2,2,2,2)</f>
        <v>SMT-1</v>
      </c>
      <c r="L163" s="20"/>
    </row>
    <row r="164" spans="1:12">
      <c r="A164" s="4">
        <v>45444</v>
      </c>
      <c r="B164" s="3" t="s">
        <v>21</v>
      </c>
      <c r="C164" s="11">
        <f>'[8]Realisasi Hilirisasi'!E$91</f>
        <v>355</v>
      </c>
      <c r="D164" s="7">
        <f>'[8]Realisasi Hilirisasi'!F$91</f>
        <v>7796908600</v>
      </c>
      <c r="E164" s="7">
        <f>'[8]Realisasi Hilirisasi'!G$91</f>
        <v>311876344</v>
      </c>
      <c r="F164" s="51">
        <f>IFERROR((InputData[[#This Row],[GROSS PROFIT]]/InputData[[#This Row],[REVENUE]])*100%,0)</f>
        <v>0.04</v>
      </c>
      <c r="G164" s="3" t="str">
        <f>VLOOKUP(InputData[[#This Row],[PRODUCT ID]],Master[],2,0)</f>
        <v>Welded Beam</v>
      </c>
      <c r="H164" s="3" t="str">
        <f>VLOOKUP(InputData[[#This Row],[PRODUCT ID]],Master[],3,0)</f>
        <v>KPdP</v>
      </c>
      <c r="I164" s="3" t="str">
        <f>TEXT(InputData[[#This Row],[MONTH]],"MMMMMM")</f>
        <v>June</v>
      </c>
      <c r="J164" s="3">
        <f>YEAR(InputData[[#This Row],[MONTH]])</f>
        <v>2024</v>
      </c>
      <c r="K164" s="3" t="str">
        <f>"SMT-"&amp;CHOOSE(MONTH(InputData[[#This Row],[MONTH]]),1,1,1,1,1,1,2,2,2,2,2,2)</f>
        <v>SMT-1</v>
      </c>
      <c r="L164" s="20">
        <v>300</v>
      </c>
    </row>
    <row r="165" spans="1:12">
      <c r="A165" s="4">
        <v>45474</v>
      </c>
      <c r="B165" s="3" t="s">
        <v>4</v>
      </c>
      <c r="C165" s="11">
        <f>'[9]Realisasi Hilirisasi'!E$92</f>
        <v>78.16986</v>
      </c>
      <c r="D165" s="7">
        <f>'[9]Realisasi Hilirisasi'!F$92</f>
        <v>1783050180</v>
      </c>
      <c r="E165" s="5">
        <f>'[9]Realisasi Hilirisasi'!G$92</f>
        <v>178305018</v>
      </c>
      <c r="F165" s="51">
        <f>IFERROR((InputData[[#This Row],[GROSS PROFIT]]/InputData[[#This Row],[REVENUE]])*100%,0)</f>
        <v>0.1</v>
      </c>
      <c r="G165" s="3" t="str">
        <f>VLOOKUP(InputData[[#This Row],[PRODUCT ID]],Master[],2,0)</f>
        <v>Tower</v>
      </c>
      <c r="H165" s="3" t="str">
        <f>VLOOKUP(InputData[[#This Row],[PRODUCT ID]],Master[],3,0)</f>
        <v>KBK</v>
      </c>
      <c r="I165" s="3" t="str">
        <f>TEXT(InputData[[#This Row],[MONTH]],"MMMMMM")</f>
        <v>July</v>
      </c>
      <c r="J165" s="3">
        <f>YEAR(InputData[[#This Row],[MONTH]])</f>
        <v>2024</v>
      </c>
      <c r="K165" s="3" t="str">
        <f>"SMT-"&amp;CHOOSE(MONTH(InputData[[#This Row],[MONTH]]),1,1,1,1,1,1,2,2,2,2,2,2)</f>
        <v>SMT-2</v>
      </c>
      <c r="L165" s="20">
        <v>900</v>
      </c>
    </row>
    <row r="166" spans="1:12">
      <c r="A166" s="4">
        <v>45474</v>
      </c>
      <c r="B166" s="3" t="s">
        <v>9</v>
      </c>
      <c r="C166" s="11">
        <f>'[9]Realisasi Hilirisasi'!E$93</f>
        <v>280.17602720459905</v>
      </c>
      <c r="D166" s="7">
        <f>'[9]Realisasi Hilirisasi'!F$93</f>
        <v>6830823108</v>
      </c>
      <c r="E166" s="5">
        <f>'[9]Realisasi Hilirisasi'!G$93</f>
        <v>351541155.39999998</v>
      </c>
      <c r="F166" s="51">
        <f>IFERROR((InputData[[#This Row],[GROSS PROFIT]]/InputData[[#This Row],[REVENUE]])*100%,0)</f>
        <v>5.1463952417138185E-2</v>
      </c>
      <c r="G166" s="3" t="str">
        <f>VLOOKUP(InputData[[#This Row],[PRODUCT ID]],Master[],2,0)</f>
        <v>Steel Structure</v>
      </c>
      <c r="H166" s="3" t="str">
        <f>VLOOKUP(InputData[[#This Row],[PRODUCT ID]],Master[],3,0)</f>
        <v>KBK</v>
      </c>
      <c r="I166" s="3" t="str">
        <f>TEXT(InputData[[#This Row],[MONTH]],"MMMMMM")</f>
        <v>July</v>
      </c>
      <c r="J166" s="3">
        <f>YEAR(InputData[[#This Row],[MONTH]])</f>
        <v>2024</v>
      </c>
      <c r="K166" s="3" t="str">
        <f>"SMT-"&amp;CHOOSE(MONTH(InputData[[#This Row],[MONTH]]),1,1,1,1,1,1,2,2,2,2,2,2)</f>
        <v>SMT-2</v>
      </c>
      <c r="L166" s="20"/>
    </row>
    <row r="167" spans="1:12">
      <c r="A167" s="4">
        <v>45474</v>
      </c>
      <c r="B167" s="3" t="s">
        <v>22</v>
      </c>
      <c r="C167" s="11">
        <f>'[9]Realisasi Hilirisasi'!E$94</f>
        <v>182.33786377358487</v>
      </c>
      <c r="D167" s="7">
        <f>'[9]Realisasi Hilirisasi'!F$94</f>
        <v>5790786500</v>
      </c>
      <c r="E167" s="5">
        <f>'[9]Realisasi Hilirisasi'!G$94</f>
        <v>579078650</v>
      </c>
      <c r="F167" s="51">
        <f>IFERROR((InputData[[#This Row],[GROSS PROFIT]]/InputData[[#This Row],[REVENUE]])*100%,0)</f>
        <v>0.1</v>
      </c>
      <c r="G167" s="3" t="str">
        <f>VLOOKUP(InputData[[#This Row],[PRODUCT ID]],Master[],2,0)</f>
        <v>Modular</v>
      </c>
      <c r="H167" s="3" t="str">
        <f>VLOOKUP(InputData[[#This Row],[PRODUCT ID]],Master[],3,0)</f>
        <v>KBK</v>
      </c>
      <c r="I167" s="3" t="str">
        <f>TEXT(InputData[[#This Row],[MONTH]],"MMMMMM")</f>
        <v>July</v>
      </c>
      <c r="J167" s="3">
        <f>YEAR(InputData[[#This Row],[MONTH]])</f>
        <v>2024</v>
      </c>
      <c r="K167" s="3" t="str">
        <f>"SMT-"&amp;CHOOSE(MONTH(InputData[[#This Row],[MONTH]]),1,1,1,1,1,1,2,2,2,2,2,2)</f>
        <v>SMT-2</v>
      </c>
      <c r="L167" s="20"/>
    </row>
    <row r="168" spans="1:12">
      <c r="A168" s="4">
        <v>45474</v>
      </c>
      <c r="B168" s="3" t="s">
        <v>11</v>
      </c>
      <c r="C168" s="11">
        <f>'[9]Realisasi Hilirisasi'!E$95</f>
        <v>170.19059336484534</v>
      </c>
      <c r="D168" s="7">
        <f>'[9]Realisasi Hilirisasi'!F$95</f>
        <v>3898229568.3600006</v>
      </c>
      <c r="E168" s="5">
        <f>'[9]Realisasi Hilirisasi'!G$95</f>
        <v>224534111.89999998</v>
      </c>
      <c r="F168" s="51">
        <f>IFERROR((InputData[[#This Row],[GROSS PROFIT]]/InputData[[#This Row],[REVENUE]])*100%,0)</f>
        <v>5.7598996663108859E-2</v>
      </c>
      <c r="G168" s="3" t="str">
        <f>VLOOKUP(InputData[[#This Row],[PRODUCT ID]],Master[],2,0)</f>
        <v>Steel Creative &amp; Component</v>
      </c>
      <c r="H168" s="3" t="str">
        <f>VLOOKUP(InputData[[#This Row],[PRODUCT ID]],Master[],3,0)</f>
        <v>KBK</v>
      </c>
      <c r="I168" s="3" t="str">
        <f>TEXT(InputData[[#This Row],[MONTH]],"MMMMMM")</f>
        <v>July</v>
      </c>
      <c r="J168" s="3">
        <f>YEAR(InputData[[#This Row],[MONTH]])</f>
        <v>2024</v>
      </c>
      <c r="K168" s="3" t="str">
        <f>"SMT-"&amp;CHOOSE(MONTH(InputData[[#This Row],[MONTH]]),1,1,1,1,1,1,2,2,2,2,2,2)</f>
        <v>SMT-2</v>
      </c>
      <c r="L168" s="20"/>
    </row>
    <row r="169" spans="1:12">
      <c r="A169" s="4">
        <v>45474</v>
      </c>
      <c r="B169" s="3" t="s">
        <v>12</v>
      </c>
      <c r="C169" s="11">
        <f>'[9]Realisasi Hilirisasi'!E$97</f>
        <v>183.4</v>
      </c>
      <c r="D169" s="6">
        <f>'[9]Realisasi Hilirisasi'!F$97</f>
        <v>3644001096</v>
      </c>
      <c r="E169" s="6">
        <f>'[9]Realisasi Hilirisasi'!G$97</f>
        <v>45666600</v>
      </c>
      <c r="F169" s="51">
        <f>IFERROR((InputData[[#This Row],[GROSS PROFIT]]/InputData[[#This Row],[REVENUE]])*100%,0)</f>
        <v>1.2531994035382694E-2</v>
      </c>
      <c r="G169" s="3" t="str">
        <f>VLOOKUP(InputData[[#This Row],[PRODUCT ID]],Master[],2,0)</f>
        <v>Electric Pole</v>
      </c>
      <c r="H169" s="3" t="str">
        <f>VLOOKUP(InputData[[#This Row],[PRODUCT ID]],Master[],3,0)</f>
        <v>KPI</v>
      </c>
      <c r="I169" s="3" t="str">
        <f>TEXT(InputData[[#This Row],[MONTH]],"MMMMMM")</f>
        <v>July</v>
      </c>
      <c r="J169" s="3">
        <f>YEAR(InputData[[#This Row],[MONTH]])</f>
        <v>2024</v>
      </c>
      <c r="K169" s="3" t="str">
        <f>"SMT-"&amp;CHOOSE(MONTH(InputData[[#This Row],[MONTH]]),1,1,1,1,1,1,2,2,2,2,2,2)</f>
        <v>SMT-2</v>
      </c>
      <c r="L169" s="20">
        <v>775</v>
      </c>
    </row>
    <row r="170" spans="1:12">
      <c r="A170" s="4">
        <v>45474</v>
      </c>
      <c r="B170" s="3" t="s">
        <v>14</v>
      </c>
      <c r="C170" s="11">
        <f>'[9]Realisasi Hilirisasi'!E$98</f>
        <v>19.25</v>
      </c>
      <c r="D170" s="7">
        <f>'[9]Realisasi Hilirisasi'!F$98</f>
        <v>312500000</v>
      </c>
      <c r="E170" s="5">
        <f>'[9]Realisasi Hilirisasi'!G$98</f>
        <v>1463000</v>
      </c>
      <c r="F170" s="51">
        <f>IFERROR((InputData[[#This Row],[GROSS PROFIT]]/InputData[[#This Row],[REVENUE]])*100%,0)</f>
        <v>4.6816000000000002E-3</v>
      </c>
      <c r="G170" s="3" t="str">
        <f>VLOOKUP(InputData[[#This Row],[PRODUCT ID]],Master[],2,0)</f>
        <v>Fiber Optic Pole</v>
      </c>
      <c r="H170" s="3" t="str">
        <f>VLOOKUP(InputData[[#This Row],[PRODUCT ID]],Master[],3,0)</f>
        <v>KPI</v>
      </c>
      <c r="I170" s="3" t="str">
        <f>TEXT(InputData[[#This Row],[MONTH]],"MMMMMM")</f>
        <v>July</v>
      </c>
      <c r="J170" s="3">
        <f>YEAR(InputData[[#This Row],[MONTH]])</f>
        <v>2024</v>
      </c>
      <c r="K170" s="3" t="str">
        <f>"SMT-"&amp;CHOOSE(MONTH(InputData[[#This Row],[MONTH]]),1,1,1,1,1,1,2,2,2,2,2,2)</f>
        <v>SMT-2</v>
      </c>
      <c r="L170" s="20"/>
    </row>
    <row r="171" spans="1:12">
      <c r="A171" s="4">
        <v>45474</v>
      </c>
      <c r="B171" s="3" t="s">
        <v>19</v>
      </c>
      <c r="C171" s="11">
        <f>'[9]Realisasi Hilirisasi'!E$100</f>
        <v>320.02545850000001</v>
      </c>
      <c r="D171" s="7">
        <f>'[9]Realisasi Hilirisasi'!F$100</f>
        <v>5529247314.4419346</v>
      </c>
      <c r="E171" s="5">
        <f>'[9]Realisasi Hilirisasi'!G$100</f>
        <v>81713015.039681852</v>
      </c>
      <c r="F171" s="51">
        <f>IFERROR((InputData[[#This Row],[GROSS PROFIT]]/InputData[[#This Row],[REVENUE]])*100%,0)</f>
        <v>1.4778325220912844E-2</v>
      </c>
      <c r="G171" s="3" t="str">
        <f>VLOOKUP(InputData[[#This Row],[PRODUCT ID]],Master[],2,0)</f>
        <v>Baja Ringan</v>
      </c>
      <c r="H171" s="3" t="str">
        <f>VLOOKUP(InputData[[#This Row],[PRODUCT ID]],Master[],3,0)</f>
        <v>KNI</v>
      </c>
      <c r="I171" s="3" t="str">
        <f>TEXT(InputData[[#This Row],[MONTH]],"MMMMMM")</f>
        <v>July</v>
      </c>
      <c r="J171" s="3">
        <f>YEAR(InputData[[#This Row],[MONTH]])</f>
        <v>2024</v>
      </c>
      <c r="K171" s="3" t="str">
        <f>"SMT-"&amp;CHOOSE(MONTH(InputData[[#This Row],[MONTH]]),1,1,1,1,1,1,2,2,2,2,2,2)</f>
        <v>SMT-2</v>
      </c>
      <c r="L171" s="20">
        <v>550</v>
      </c>
    </row>
    <row r="172" spans="1:12">
      <c r="A172" s="4">
        <v>45474</v>
      </c>
      <c r="B172" s="3" t="s">
        <v>20</v>
      </c>
      <c r="C172" s="11">
        <f>'[9]Realisasi Hilirisasi'!E$103</f>
        <v>17.55</v>
      </c>
      <c r="D172" s="7">
        <f>'[9]Realisasi Hilirisasi'!F$103</f>
        <v>204324300</v>
      </c>
      <c r="E172" s="5">
        <f>'[9]Realisasi Hilirisasi'!G$103</f>
        <v>26756732.540540546</v>
      </c>
      <c r="F172" s="51">
        <f>IFERROR((InputData[[#This Row],[GROSS PROFIT]]/InputData[[#This Row],[REVENUE]])*100%,0)</f>
        <v>0.13095227802341938</v>
      </c>
      <c r="G172" s="3" t="str">
        <f>VLOOKUP(InputData[[#This Row],[PRODUCT ID]],Master[],2,0)</f>
        <v>CNP</v>
      </c>
      <c r="H172" s="3" t="str">
        <f>VLOOKUP(InputData[[#This Row],[PRODUCT ID]],Master[],3,0)</f>
        <v>KNI</v>
      </c>
      <c r="I172" s="3" t="str">
        <f>TEXT(InputData[[#This Row],[MONTH]],"MMMMMM")</f>
        <v>July</v>
      </c>
      <c r="J172" s="3">
        <f>YEAR(InputData[[#This Row],[MONTH]])</f>
        <v>2024</v>
      </c>
      <c r="K172" s="3" t="str">
        <f>"SMT-"&amp;CHOOSE(MONTH(InputData[[#This Row],[MONTH]]),1,1,1,1,1,1,2,2,2,2,2,2)</f>
        <v>SMT-2</v>
      </c>
      <c r="L172" s="20"/>
    </row>
    <row r="173" spans="1:12">
      <c r="A173" s="4">
        <v>45474</v>
      </c>
      <c r="B173" s="3" t="s">
        <v>23</v>
      </c>
      <c r="C173" s="11">
        <f>'[9]Realisasi Hilirisasi'!E$104</f>
        <v>6.8884799999999995</v>
      </c>
      <c r="D173" s="7">
        <f>'[9]Realisasi Hilirisasi'!F$104</f>
        <v>115137960</v>
      </c>
      <c r="E173" s="5">
        <f>'[9]Realisasi Hilirisasi'!G$104</f>
        <v>16186608.648648657</v>
      </c>
      <c r="F173" s="51">
        <f>IFERROR((InputData[[#This Row],[GROSS PROFIT]]/InputData[[#This Row],[REVENUE]])*100%,0)</f>
        <v>0.14058446622337809</v>
      </c>
      <c r="G173" s="3" t="str">
        <f>VLOOKUP(InputData[[#This Row],[PRODUCT ID]],Master[],2,0)</f>
        <v>Other Product</v>
      </c>
      <c r="H173" s="3" t="str">
        <f>VLOOKUP(InputData[[#This Row],[PRODUCT ID]],Master[],3,0)</f>
        <v>KNI</v>
      </c>
      <c r="I173" s="3" t="str">
        <f>TEXT(InputData[[#This Row],[MONTH]],"MMMMMM")</f>
        <v>July</v>
      </c>
      <c r="J173" s="3">
        <f>YEAR(InputData[[#This Row],[MONTH]])</f>
        <v>2024</v>
      </c>
      <c r="K173" s="3" t="str">
        <f>"SMT-"&amp;CHOOSE(MONTH(InputData[[#This Row],[MONTH]]),1,1,1,1,1,1,2,2,2,2,2,2)</f>
        <v>SMT-2</v>
      </c>
      <c r="L173" s="20"/>
    </row>
    <row r="174" spans="1:12">
      <c r="A174" s="4">
        <v>45474</v>
      </c>
      <c r="B174" s="3" t="s">
        <v>21</v>
      </c>
      <c r="C174" s="11">
        <f>'[9]Realisasi Hilirisasi'!E$105</f>
        <v>0</v>
      </c>
      <c r="D174" s="7">
        <f>'[9]Realisasi Hilirisasi'!F$105</f>
        <v>0</v>
      </c>
      <c r="E174" s="5">
        <f>'[9]Realisasi Hilirisasi'!G$105</f>
        <v>0</v>
      </c>
      <c r="F174" s="51">
        <f>IFERROR((InputData[[#This Row],[GROSS PROFIT]]/InputData[[#This Row],[REVENUE]])*100%,0)</f>
        <v>0</v>
      </c>
      <c r="G174" s="3" t="str">
        <f>VLOOKUP(InputData[[#This Row],[PRODUCT ID]],Master[],2,0)</f>
        <v>Welded Beam</v>
      </c>
      <c r="H174" s="3" t="str">
        <f>VLOOKUP(InputData[[#This Row],[PRODUCT ID]],Master[],3,0)</f>
        <v>KPdP</v>
      </c>
      <c r="I174" s="3" t="str">
        <f>TEXT(InputData[[#This Row],[MONTH]],"MMMMMM")</f>
        <v>July</v>
      </c>
      <c r="J174" s="3">
        <f>YEAR(InputData[[#This Row],[MONTH]])</f>
        <v>2024</v>
      </c>
      <c r="K174" s="3" t="str">
        <f>"SMT-"&amp;CHOOSE(MONTH(InputData[[#This Row],[MONTH]]),1,1,1,1,1,1,2,2,2,2,2,2)</f>
        <v>SMT-2</v>
      </c>
      <c r="L174" s="20">
        <v>300</v>
      </c>
    </row>
    <row r="175" spans="1:12">
      <c r="A175" s="4">
        <v>45505</v>
      </c>
      <c r="B175" s="3" t="s">
        <v>4</v>
      </c>
      <c r="C175" s="11">
        <f>'[10]Realisasi Hilirisasi'!E$106</f>
        <v>84.387</v>
      </c>
      <c r="D175" s="7">
        <f>'[10]Realisasi Hilirisasi'!F$106</f>
        <v>1887079399.0000002</v>
      </c>
      <c r="E175" s="5">
        <f>'[10]Realisasi Hilirisasi'!G$106</f>
        <v>185651400</v>
      </c>
      <c r="F175" s="51">
        <f>IFERROR((InputData[[#This Row],[GROSS PROFIT]]/InputData[[#This Row],[REVENUE]])*100%,0)</f>
        <v>9.8380280182370841E-2</v>
      </c>
      <c r="G175" s="3" t="str">
        <f>VLOOKUP(InputData[[#This Row],[PRODUCT ID]],Master[],2,0)</f>
        <v>Tower</v>
      </c>
      <c r="H175" s="3" t="str">
        <f>VLOOKUP(InputData[[#This Row],[PRODUCT ID]],Master[],3,0)</f>
        <v>KBK</v>
      </c>
      <c r="I175" s="3" t="str">
        <f>TEXT(InputData[[#This Row],[MONTH]],"MMMMMM")</f>
        <v>August</v>
      </c>
      <c r="J175" s="3">
        <f>YEAR(InputData[[#This Row],[MONTH]])</f>
        <v>2024</v>
      </c>
      <c r="K175" s="3" t="str">
        <f>"SMT-"&amp;CHOOSE(MONTH(InputData[[#This Row],[MONTH]]),1,1,1,1,1,1,2,2,2,2,2,2)</f>
        <v>SMT-2</v>
      </c>
      <c r="L175" s="20">
        <v>1000</v>
      </c>
    </row>
    <row r="176" spans="1:12">
      <c r="A176" s="4">
        <v>45505</v>
      </c>
      <c r="B176" s="3" t="s">
        <v>9</v>
      </c>
      <c r="C176" s="11">
        <f>'[10]Realisasi Hilirisasi'!E$107</f>
        <v>323.55846695428875</v>
      </c>
      <c r="D176" s="7">
        <f>'[10]Realisasi Hilirisasi'!F$107</f>
        <v>10079582168.869999</v>
      </c>
      <c r="E176" s="5">
        <f>'[10]Realisasi Hilirisasi'!G$107</f>
        <v>785536447.56372833</v>
      </c>
      <c r="F176" s="51">
        <f>IFERROR((InputData[[#This Row],[GROSS PROFIT]]/InputData[[#This Row],[REVENUE]])*100%,0)</f>
        <v>7.7933433589121998E-2</v>
      </c>
      <c r="G176" s="3" t="str">
        <f>VLOOKUP(InputData[[#This Row],[PRODUCT ID]],Master[],2,0)</f>
        <v>Steel Structure</v>
      </c>
      <c r="H176" s="3" t="str">
        <f>VLOOKUP(InputData[[#This Row],[PRODUCT ID]],Master[],3,0)</f>
        <v>KBK</v>
      </c>
      <c r="I176" s="3" t="str">
        <f>TEXT(InputData[[#This Row],[MONTH]],"MMMMMM")</f>
        <v>August</v>
      </c>
      <c r="J176" s="3">
        <f>YEAR(InputData[[#This Row],[MONTH]])</f>
        <v>2024</v>
      </c>
      <c r="K176" s="3" t="str">
        <f>"SMT-"&amp;CHOOSE(MONTH(InputData[[#This Row],[MONTH]]),1,1,1,1,1,1,2,2,2,2,2,2)</f>
        <v>SMT-2</v>
      </c>
      <c r="L176" s="20"/>
    </row>
    <row r="177" spans="1:12">
      <c r="A177" s="4">
        <v>45505</v>
      </c>
      <c r="B177" s="3" t="s">
        <v>22</v>
      </c>
      <c r="C177" s="11">
        <f>'[10]Realisasi Hilirisasi'!E$108</f>
        <v>12.4</v>
      </c>
      <c r="D177" s="7">
        <f>'[10]Realisasi Hilirisasi'!F$108</f>
        <v>395000000</v>
      </c>
      <c r="E177" s="5">
        <f>'[10]Realisasi Hilirisasi'!G$108</f>
        <v>18600000</v>
      </c>
      <c r="F177" s="51">
        <f>IFERROR((InputData[[#This Row],[GROSS PROFIT]]/InputData[[#This Row],[REVENUE]])*100%,0)</f>
        <v>4.7088607594936709E-2</v>
      </c>
      <c r="G177" s="3" t="str">
        <f>VLOOKUP(InputData[[#This Row],[PRODUCT ID]],Master[],2,0)</f>
        <v>Modular</v>
      </c>
      <c r="H177" s="3" t="str">
        <f>VLOOKUP(InputData[[#This Row],[PRODUCT ID]],Master[],3,0)</f>
        <v>KBK</v>
      </c>
      <c r="I177" s="3" t="str">
        <f>TEXT(InputData[[#This Row],[MONTH]],"MMMMMM")</f>
        <v>August</v>
      </c>
      <c r="J177" s="3">
        <f>YEAR(InputData[[#This Row],[MONTH]])</f>
        <v>2024</v>
      </c>
      <c r="K177" s="3" t="str">
        <f>"SMT-"&amp;CHOOSE(MONTH(InputData[[#This Row],[MONTH]]),1,1,1,1,1,1,2,2,2,2,2,2)</f>
        <v>SMT-2</v>
      </c>
      <c r="L177" s="20"/>
    </row>
    <row r="178" spans="1:12">
      <c r="A178" s="4">
        <v>45505</v>
      </c>
      <c r="B178" s="3" t="s">
        <v>11</v>
      </c>
      <c r="C178" s="11">
        <f>'[10]Realisasi Hilirisasi'!E$109</f>
        <v>241.12795</v>
      </c>
      <c r="D178" s="7">
        <f>'[10]Realisasi Hilirisasi'!F$109</f>
        <v>3373324244.7000008</v>
      </c>
      <c r="E178" s="5">
        <f>'[10]Realisasi Hilirisasi'!G$109</f>
        <v>252730837.5</v>
      </c>
      <c r="F178" s="51">
        <f>IFERROR((InputData[[#This Row],[GROSS PROFIT]]/InputData[[#This Row],[REVENUE]])*100%,0)</f>
        <v>7.4920410600041815E-2</v>
      </c>
      <c r="G178" s="3" t="str">
        <f>VLOOKUP(InputData[[#This Row],[PRODUCT ID]],Master[],2,0)</f>
        <v>Steel Creative &amp; Component</v>
      </c>
      <c r="H178" s="3" t="str">
        <f>VLOOKUP(InputData[[#This Row],[PRODUCT ID]],Master[],3,0)</f>
        <v>KBK</v>
      </c>
      <c r="I178" s="3" t="str">
        <f>TEXT(InputData[[#This Row],[MONTH]],"MMMMMM")</f>
        <v>August</v>
      </c>
      <c r="J178" s="3">
        <f>YEAR(InputData[[#This Row],[MONTH]])</f>
        <v>2024</v>
      </c>
      <c r="K178" s="3" t="str">
        <f>"SMT-"&amp;CHOOSE(MONTH(InputData[[#This Row],[MONTH]]),1,1,1,1,1,1,2,2,2,2,2,2)</f>
        <v>SMT-2</v>
      </c>
      <c r="L178" s="20"/>
    </row>
    <row r="179" spans="1:12">
      <c r="A179" s="4">
        <v>45505</v>
      </c>
      <c r="B179" s="3" t="s">
        <v>12</v>
      </c>
      <c r="C179" s="11">
        <f>'[10]Realisasi Hilirisasi'!E$111</f>
        <v>258</v>
      </c>
      <c r="D179" s="7">
        <f>'[10]Realisasi Hilirisasi'!F$111</f>
        <v>5126239273.5441656</v>
      </c>
      <c r="E179" s="5">
        <f>'[10]Realisasi Hilirisasi'!G$111</f>
        <v>66641110.556074157</v>
      </c>
      <c r="F179" s="51">
        <f>IFERROR((InputData[[#This Row],[GROSS PROFIT]]/InputData[[#This Row],[REVENUE]])*100%,0)</f>
        <v>1.3000000000000001E-2</v>
      </c>
      <c r="G179" s="3" t="str">
        <f>VLOOKUP(InputData[[#This Row],[PRODUCT ID]],Master[],2,0)</f>
        <v>Electric Pole</v>
      </c>
      <c r="H179" s="3" t="str">
        <f>VLOOKUP(InputData[[#This Row],[PRODUCT ID]],Master[],3,0)</f>
        <v>KPI</v>
      </c>
      <c r="I179" s="3" t="str">
        <f>TEXT(InputData[[#This Row],[MONTH]],"MMMMMM")</f>
        <v>August</v>
      </c>
      <c r="J179" s="3">
        <f>YEAR(InputData[[#This Row],[MONTH]])</f>
        <v>2024</v>
      </c>
      <c r="K179" s="3" t="str">
        <f>"SMT-"&amp;CHOOSE(MONTH(InputData[[#This Row],[MONTH]]),1,1,1,1,1,1,2,2,2,2,2,2)</f>
        <v>SMT-2</v>
      </c>
      <c r="L179" s="20">
        <v>750</v>
      </c>
    </row>
    <row r="180" spans="1:12">
      <c r="A180" s="4">
        <v>45505</v>
      </c>
      <c r="B180" s="3" t="s">
        <v>19</v>
      </c>
      <c r="C180" s="11">
        <f>'[10]Realisasi Hilirisasi'!E$114</f>
        <v>327.17774383357948</v>
      </c>
      <c r="D180" s="7">
        <f>'[10]Realisasi Hilirisasi'!F$114</f>
        <v>5677999638.7287912</v>
      </c>
      <c r="E180" s="5">
        <f>'[10]Realisasi Hilirisasi'!G$114</f>
        <v>83911324.71027714</v>
      </c>
      <c r="F180" s="51">
        <f>IFERROR((InputData[[#This Row],[GROSS PROFIT]]/InputData[[#This Row],[REVENUE]])*100%,0)</f>
        <v>1.477832512315261E-2</v>
      </c>
      <c r="G180" s="3" t="str">
        <f>VLOOKUP(InputData[[#This Row],[PRODUCT ID]],Master[],2,0)</f>
        <v>Baja Ringan</v>
      </c>
      <c r="H180" s="3" t="str">
        <f>VLOOKUP(InputData[[#This Row],[PRODUCT ID]],Master[],3,0)</f>
        <v>KNI</v>
      </c>
      <c r="I180" s="3" t="str">
        <f>TEXT(InputData[[#This Row],[MONTH]],"MMMMMM")</f>
        <v>August</v>
      </c>
      <c r="J180" s="3">
        <f>YEAR(InputData[[#This Row],[MONTH]])</f>
        <v>2024</v>
      </c>
      <c r="K180" s="3" t="str">
        <f>"SMT-"&amp;CHOOSE(MONTH(InputData[[#This Row],[MONTH]]),1,1,1,1,1,1,2,2,2,2,2,2)</f>
        <v>SMT-2</v>
      </c>
      <c r="L180" s="20">
        <v>550</v>
      </c>
    </row>
    <row r="181" spans="1:12">
      <c r="A181" s="4">
        <v>45505</v>
      </c>
      <c r="B181" s="3" t="s">
        <v>21</v>
      </c>
      <c r="C181" s="11">
        <f>'[10]Realisasi Hilirisasi'!E$119</f>
        <v>0</v>
      </c>
      <c r="D181" s="7">
        <f>'[10]Realisasi Hilirisasi'!F$119</f>
        <v>0</v>
      </c>
      <c r="E181" s="5">
        <f>'[10]Realisasi Hilirisasi'!G$119</f>
        <v>0</v>
      </c>
      <c r="F181" s="51">
        <f>IFERROR((InputData[[#This Row],[GROSS PROFIT]]/InputData[[#This Row],[REVENUE]])*100%,0)</f>
        <v>0</v>
      </c>
      <c r="G181" s="3" t="str">
        <f>VLOOKUP(InputData[[#This Row],[PRODUCT ID]],Master[],2,0)</f>
        <v>Welded Beam</v>
      </c>
      <c r="H181" s="3" t="str">
        <f>VLOOKUP(InputData[[#This Row],[PRODUCT ID]],Master[],3,0)</f>
        <v>KPdP</v>
      </c>
      <c r="I181" s="3" t="str">
        <f>TEXT(InputData[[#This Row],[MONTH]],"MMMMMM")</f>
        <v>August</v>
      </c>
      <c r="J181" s="3">
        <f>YEAR(InputData[[#This Row],[MONTH]])</f>
        <v>2024</v>
      </c>
      <c r="K181" s="3" t="str">
        <f>"SMT-"&amp;CHOOSE(MONTH(InputData[[#This Row],[MONTH]]),1,1,1,1,1,1,2,2,2,2,2,2)</f>
        <v>SMT-2</v>
      </c>
      <c r="L181" s="20">
        <v>300</v>
      </c>
    </row>
    <row r="182" spans="1:12">
      <c r="A182" s="4">
        <v>45536</v>
      </c>
      <c r="B182" s="3" t="s">
        <v>4</v>
      </c>
      <c r="C182" s="11">
        <f>'[11]Realisasi Hilirisasi'!E$120</f>
        <v>26.585999999999999</v>
      </c>
      <c r="D182" s="7">
        <f>'[11]Realisasi Hilirisasi'!F$120</f>
        <v>582399258.89999998</v>
      </c>
      <c r="E182" s="5">
        <f>'[11]Realisasi Hilirisasi'!G$120</f>
        <v>66465000</v>
      </c>
      <c r="F182" s="51">
        <f>IFERROR((InputData[[#This Row],[GROSS PROFIT]]/InputData[[#This Row],[REVENUE]])*100%,0)</f>
        <v>0.11412274137425074</v>
      </c>
      <c r="G182" s="3" t="str">
        <f>VLOOKUP(InputData[[#This Row],[PRODUCT ID]],Master[],2,0)</f>
        <v>Tower</v>
      </c>
      <c r="H182" s="3" t="str">
        <f>VLOOKUP(InputData[[#This Row],[PRODUCT ID]],Master[],3,0)</f>
        <v>KBK</v>
      </c>
      <c r="I182" s="3" t="str">
        <f>TEXT(InputData[[#This Row],[MONTH]],"MMMMMM")</f>
        <v>September</v>
      </c>
      <c r="J182" s="3">
        <f>YEAR(InputData[[#This Row],[MONTH]])</f>
        <v>2024</v>
      </c>
      <c r="K182" s="3" t="str">
        <f>"SMT-"&amp;CHOOSE(MONTH(InputData[[#This Row],[MONTH]]),1,1,1,1,1,1,2,2,2,2,2,2)</f>
        <v>SMT-2</v>
      </c>
      <c r="L182" s="20">
        <v>1235</v>
      </c>
    </row>
    <row r="183" spans="1:12">
      <c r="A183" s="4">
        <v>45536</v>
      </c>
      <c r="B183" s="3" t="s">
        <v>9</v>
      </c>
      <c r="C183" s="11">
        <f>'[11]Realisasi Hilirisasi'!E$121</f>
        <v>233.27564771368111</v>
      </c>
      <c r="D183" s="7">
        <f>'[11]Realisasi Hilirisasi'!F$121</f>
        <v>9337062842.5</v>
      </c>
      <c r="E183" s="5">
        <f>'[11]Realisasi Hilirisasi'!G$121</f>
        <v>1167009554.4378757</v>
      </c>
      <c r="F183" s="51">
        <f>IFERROR((InputData[[#This Row],[GROSS PROFIT]]/InputData[[#This Row],[REVENUE]])*100%,0)</f>
        <v>0.1249867944688063</v>
      </c>
      <c r="G183" s="3" t="str">
        <f>VLOOKUP(InputData[[#This Row],[PRODUCT ID]],Master[],2,0)</f>
        <v>Steel Structure</v>
      </c>
      <c r="H183" s="3" t="str">
        <f>VLOOKUP(InputData[[#This Row],[PRODUCT ID]],Master[],3,0)</f>
        <v>KBK</v>
      </c>
      <c r="I183" s="3" t="str">
        <f>TEXT(InputData[[#This Row],[MONTH]],"MMMMMM")</f>
        <v>September</v>
      </c>
      <c r="J183" s="3">
        <f>YEAR(InputData[[#This Row],[MONTH]])</f>
        <v>2024</v>
      </c>
      <c r="K183" s="3" t="str">
        <f>"SMT-"&amp;CHOOSE(MONTH(InputData[[#This Row],[MONTH]]),1,1,1,1,1,1,2,2,2,2,2,2)</f>
        <v>SMT-2</v>
      </c>
      <c r="L183" s="20"/>
    </row>
    <row r="184" spans="1:12">
      <c r="A184" s="4">
        <v>45536</v>
      </c>
      <c r="B184" s="3" t="s">
        <v>22</v>
      </c>
      <c r="C184" s="11">
        <f>'[11]Realisasi Hilirisasi'!E$122</f>
        <v>0.6199968607753884</v>
      </c>
      <c r="D184" s="7">
        <f>'[11]Realisasi Hilirisasi'!F$122</f>
        <v>296250000</v>
      </c>
      <c r="E184" s="5">
        <f>'[11]Realisasi Hilirisasi'!G$122</f>
        <v>929995.29116308689</v>
      </c>
      <c r="F184" s="51">
        <f>IFERROR((InputData[[#This Row],[GROSS PROFIT]]/InputData[[#This Row],[REVENUE]])*100%,0)</f>
        <v>3.1392246115209683E-3</v>
      </c>
      <c r="G184" s="3" t="str">
        <f>VLOOKUP(InputData[[#This Row],[PRODUCT ID]],Master[],2,0)</f>
        <v>Modular</v>
      </c>
      <c r="H184" s="3" t="str">
        <f>VLOOKUP(InputData[[#This Row],[PRODUCT ID]],Master[],3,0)</f>
        <v>KBK</v>
      </c>
      <c r="I184" s="3" t="str">
        <f>TEXT(InputData[[#This Row],[MONTH]],"MMMMMM")</f>
        <v>September</v>
      </c>
      <c r="J184" s="3">
        <f>YEAR(InputData[[#This Row],[MONTH]])</f>
        <v>2024</v>
      </c>
      <c r="K184" s="3" t="str">
        <f>"SMT-"&amp;CHOOSE(MONTH(InputData[[#This Row],[MONTH]]),1,1,1,1,1,1,2,2,2,2,2,2)</f>
        <v>SMT-2</v>
      </c>
      <c r="L184" s="20"/>
    </row>
    <row r="185" spans="1:12">
      <c r="A185" s="4">
        <v>45536</v>
      </c>
      <c r="B185" s="3" t="s">
        <v>11</v>
      </c>
      <c r="C185" s="11">
        <f>'[11]Realisasi Hilirisasi'!E$123</f>
        <v>34.688749999999999</v>
      </c>
      <c r="D185" s="7">
        <f>'[11]Realisasi Hilirisasi'!F$123</f>
        <v>-1110997064.4000001</v>
      </c>
      <c r="E185" s="5">
        <f>'[11]Realisasi Hilirisasi'!G$123</f>
        <v>-28385012.035609722</v>
      </c>
      <c r="F185" s="51">
        <f>IFERROR((InputData[[#This Row],[GROSS PROFIT]]/InputData[[#This Row],[REVENUE]])*100%,0)</f>
        <v>2.5549133247205473E-2</v>
      </c>
      <c r="G185" s="3" t="str">
        <f>VLOOKUP(InputData[[#This Row],[PRODUCT ID]],Master[],2,0)</f>
        <v>Steel Creative &amp; Component</v>
      </c>
      <c r="H185" s="3" t="str">
        <f>VLOOKUP(InputData[[#This Row],[PRODUCT ID]],Master[],3,0)</f>
        <v>KBK</v>
      </c>
      <c r="I185" s="3" t="str">
        <f>TEXT(InputData[[#This Row],[MONTH]],"MMMMMM")</f>
        <v>September</v>
      </c>
      <c r="J185" s="3">
        <f>YEAR(InputData[[#This Row],[MONTH]])</f>
        <v>2024</v>
      </c>
      <c r="K185" s="3" t="str">
        <f>"SMT-"&amp;CHOOSE(MONTH(InputData[[#This Row],[MONTH]]),1,1,1,1,1,1,2,2,2,2,2,2)</f>
        <v>SMT-2</v>
      </c>
      <c r="L185" s="20"/>
    </row>
    <row r="186" spans="1:12">
      <c r="A186" s="4">
        <v>45536</v>
      </c>
      <c r="B186" s="3" t="s">
        <v>12</v>
      </c>
      <c r="C186" s="11">
        <f>'[11]Realisasi Hilirisasi'!E$125</f>
        <v>671.55</v>
      </c>
      <c r="D186" s="7">
        <f>'[11]Realisasi Hilirisasi'!F$125</f>
        <v>12855079083.783783</v>
      </c>
      <c r="E186" s="5">
        <f>'[11]Realisasi Hilirisasi'!G$125</f>
        <v>167215950</v>
      </c>
      <c r="F186" s="51">
        <f>IFERROR((InputData[[#This Row],[GROSS PROFIT]]/InputData[[#This Row],[REVENUE]])*100%,0)</f>
        <v>1.3007772951855028E-2</v>
      </c>
      <c r="G186" s="3" t="str">
        <f>VLOOKUP(InputData[[#This Row],[PRODUCT ID]],Master[],2,0)</f>
        <v>Electric Pole</v>
      </c>
      <c r="H186" s="3" t="str">
        <f>VLOOKUP(InputData[[#This Row],[PRODUCT ID]],Master[],3,0)</f>
        <v>KPI</v>
      </c>
      <c r="I186" s="3" t="str">
        <f>TEXT(InputData[[#This Row],[MONTH]],"MMMMMM")</f>
        <v>September</v>
      </c>
      <c r="J186" s="3">
        <f>YEAR(InputData[[#This Row],[MONTH]])</f>
        <v>2024</v>
      </c>
      <c r="K186" s="3" t="str">
        <f>"SMT-"&amp;CHOOSE(MONTH(InputData[[#This Row],[MONTH]]),1,1,1,1,1,1,2,2,2,2,2,2)</f>
        <v>SMT-2</v>
      </c>
      <c r="L186" s="20">
        <v>675</v>
      </c>
    </row>
    <row r="187" spans="1:12">
      <c r="A187" s="4">
        <v>45536</v>
      </c>
      <c r="B187" s="3" t="s">
        <v>19</v>
      </c>
      <c r="C187" s="11">
        <f>'[11]Realisasi Hilirisasi'!E$128</f>
        <v>368.10221621066449</v>
      </c>
      <c r="D187" s="7">
        <f>'[11]Realisasi Hilirisasi'!F$128</f>
        <v>6470696029.0211668</v>
      </c>
      <c r="E187" s="5">
        <f>'[11]Realisasi Hilirisasi'!G$128</f>
        <v>95626049.689967379</v>
      </c>
      <c r="F187" s="51">
        <f>IFERROR((InputData[[#This Row],[GROSS PROFIT]]/InputData[[#This Row],[REVENUE]])*100%,0)</f>
        <v>1.4778325123152617E-2</v>
      </c>
      <c r="G187" s="3" t="str">
        <f>VLOOKUP(InputData[[#This Row],[PRODUCT ID]],Master[],2,0)</f>
        <v>Baja Ringan</v>
      </c>
      <c r="H187" s="3" t="str">
        <f>VLOOKUP(InputData[[#This Row],[PRODUCT ID]],Master[],3,0)</f>
        <v>KNI</v>
      </c>
      <c r="I187" s="3" t="str">
        <f>TEXT(InputData[[#This Row],[MONTH]],"MMMMMM")</f>
        <v>September</v>
      </c>
      <c r="J187" s="3">
        <f>YEAR(InputData[[#This Row],[MONTH]])</f>
        <v>2024</v>
      </c>
      <c r="K187" s="3" t="str">
        <f>"SMT-"&amp;CHOOSE(MONTH(InputData[[#This Row],[MONTH]]),1,1,1,1,1,1,2,2,2,2,2,2)</f>
        <v>SMT-2</v>
      </c>
      <c r="L187" s="20">
        <v>550</v>
      </c>
    </row>
    <row r="188" spans="1:12">
      <c r="A188" s="4">
        <v>45536</v>
      </c>
      <c r="B188" s="3" t="s">
        <v>20</v>
      </c>
      <c r="C188" s="11">
        <f>'[11]Realisasi Hilirisasi'!E$131</f>
        <v>10.363800000000001</v>
      </c>
      <c r="D188" s="7">
        <f>'[11]Realisasi Hilirisasi'!F$131</f>
        <v>141185960</v>
      </c>
      <c r="E188" s="5">
        <f>'[11]Realisasi Hilirisasi'!G$131</f>
        <v>4910960</v>
      </c>
      <c r="F188" s="51">
        <f>IFERROR((InputData[[#This Row],[GROSS PROFIT]]/InputData[[#This Row],[REVENUE]])*100%,0)</f>
        <v>3.4783628627095782E-2</v>
      </c>
      <c r="G188" s="3" t="str">
        <f>VLOOKUP(InputData[[#This Row],[PRODUCT ID]],Master[],2,0)</f>
        <v>CNP</v>
      </c>
      <c r="H188" s="3" t="str">
        <f>VLOOKUP(InputData[[#This Row],[PRODUCT ID]],Master[],3,0)</f>
        <v>KNI</v>
      </c>
      <c r="I188" s="3" t="str">
        <f>TEXT(InputData[[#This Row],[MONTH]],"MMMMMM")</f>
        <v>September</v>
      </c>
      <c r="J188" s="3">
        <f>YEAR(InputData[[#This Row],[MONTH]])</f>
        <v>2024</v>
      </c>
      <c r="K188" s="3" t="str">
        <f>"SMT-"&amp;CHOOSE(MONTH(InputData[[#This Row],[MONTH]]),1,1,1,1,1,1,2,2,2,2,2,2)</f>
        <v>SMT-2</v>
      </c>
      <c r="L188" s="20"/>
    </row>
    <row r="189" spans="1:12">
      <c r="A189" s="4">
        <v>45536</v>
      </c>
      <c r="B189" s="3" t="s">
        <v>21</v>
      </c>
      <c r="C189" s="6">
        <f>'[11]Realisasi Hilirisasi'!E$133</f>
        <v>0</v>
      </c>
      <c r="D189" s="7">
        <f>'[11]Realisasi Hilirisasi'!F$133</f>
        <v>0</v>
      </c>
      <c r="E189" s="5">
        <f>'[11]Realisasi Hilirisasi'!G$133</f>
        <v>0</v>
      </c>
      <c r="F189" s="51">
        <f>IFERROR((InputData[[#This Row],[GROSS PROFIT]]/InputData[[#This Row],[REVENUE]])*100%,0)</f>
        <v>0</v>
      </c>
      <c r="G189" s="3" t="str">
        <f>VLOOKUP(InputData[[#This Row],[PRODUCT ID]],Master[],2,0)</f>
        <v>Welded Beam</v>
      </c>
      <c r="H189" s="3" t="str">
        <f>VLOOKUP(InputData[[#This Row],[PRODUCT ID]],Master[],3,0)</f>
        <v>KPdP</v>
      </c>
      <c r="I189" s="3" t="str">
        <f>TEXT(InputData[[#This Row],[MONTH]],"MMMMMM")</f>
        <v>September</v>
      </c>
      <c r="J189" s="3">
        <f>YEAR(InputData[[#This Row],[MONTH]])</f>
        <v>2024</v>
      </c>
      <c r="K189" s="3" t="str">
        <f>"SMT-"&amp;CHOOSE(MONTH(InputData[[#This Row],[MONTH]]),1,1,1,1,1,1,2,2,2,2,2,2)</f>
        <v>SMT-2</v>
      </c>
      <c r="L189" s="20">
        <v>300</v>
      </c>
    </row>
    <row r="190" spans="1:12">
      <c r="A190" s="4">
        <v>45566</v>
      </c>
      <c r="B190" s="3" t="s">
        <v>9</v>
      </c>
      <c r="C190" s="11">
        <f>'[12]Realisasi Hilirisasi'!E$135</f>
        <v>323.13863622334839</v>
      </c>
      <c r="D190" s="7">
        <f>'[12]Realisasi Hilirisasi'!F$135</f>
        <v>8379050520</v>
      </c>
      <c r="E190" s="5">
        <f>'[12]Realisasi Hilirisasi'!G$135</f>
        <v>946654045.74411035</v>
      </c>
      <c r="F190" s="51">
        <f>IFERROR((InputData[[#This Row],[GROSS PROFIT]]/InputData[[#This Row],[REVENUE]])*100%,0)</f>
        <v>0.11297867741512439</v>
      </c>
      <c r="G190" s="3" t="str">
        <f>VLOOKUP(InputData[[#This Row],[PRODUCT ID]],Master[],2,0)</f>
        <v>Steel Structure</v>
      </c>
      <c r="H190" s="3" t="str">
        <f>VLOOKUP(InputData[[#This Row],[PRODUCT ID]],Master[],3,0)</f>
        <v>KBK</v>
      </c>
      <c r="I190" s="3" t="str">
        <f>TEXT(InputData[[#This Row],[MONTH]],"MMMMMM")</f>
        <v>October</v>
      </c>
      <c r="J190" s="3">
        <f>YEAR(InputData[[#This Row],[MONTH]])</f>
        <v>2024</v>
      </c>
      <c r="K190" s="3" t="str">
        <f>"SMT-"&amp;CHOOSE(MONTH(InputData[[#This Row],[MONTH]]),1,1,1,1,1,1,2,2,2,2,2,2)</f>
        <v>SMT-2</v>
      </c>
      <c r="L190" s="20">
        <v>1300</v>
      </c>
    </row>
    <row r="191" spans="1:12">
      <c r="A191" s="4">
        <v>45566</v>
      </c>
      <c r="B191" s="3" t="s">
        <v>22</v>
      </c>
      <c r="C191" s="11">
        <f>'[12]Realisasi Hilirisasi'!E$136</f>
        <v>23.087599999999998</v>
      </c>
      <c r="D191" s="7">
        <f>'[12]Realisasi Hilirisasi'!F$136</f>
        <v>648000000</v>
      </c>
      <c r="E191" s="5">
        <f>'[12]Realisasi Hilirisasi'!G$136</f>
        <v>34631400</v>
      </c>
      <c r="F191" s="51">
        <f>IFERROR((InputData[[#This Row],[GROSS PROFIT]]/InputData[[#This Row],[REVENUE]])*100%,0)</f>
        <v>5.3443518518518515E-2</v>
      </c>
      <c r="G191" s="3" t="str">
        <f>VLOOKUP(InputData[[#This Row],[PRODUCT ID]],Master[],2,0)</f>
        <v>Modular</v>
      </c>
      <c r="H191" s="3" t="str">
        <f>VLOOKUP(InputData[[#This Row],[PRODUCT ID]],Master[],3,0)</f>
        <v>KBK</v>
      </c>
      <c r="I191" s="3" t="str">
        <f>TEXT(InputData[[#This Row],[MONTH]],"MMMMMM")</f>
        <v>October</v>
      </c>
      <c r="J191" s="3">
        <f>YEAR(InputData[[#This Row],[MONTH]])</f>
        <v>2024</v>
      </c>
      <c r="K191" s="3" t="str">
        <f>"SMT-"&amp;CHOOSE(MONTH(InputData[[#This Row],[MONTH]]),1,1,1,1,1,1,2,2,2,2,2,2)</f>
        <v>SMT-2</v>
      </c>
      <c r="L191" s="20"/>
    </row>
    <row r="192" spans="1:12">
      <c r="A192" s="4">
        <v>45566</v>
      </c>
      <c r="B192" s="3" t="s">
        <v>11</v>
      </c>
      <c r="C192" s="11">
        <f>'[12]Realisasi Hilirisasi'!E$137</f>
        <v>338.54515190476189</v>
      </c>
      <c r="D192" s="7">
        <f>'[12]Realisasi Hilirisasi'!F$137</f>
        <v>4842312686.3544006</v>
      </c>
      <c r="E192" s="5">
        <f>'[12]Realisasi Hilirisasi'!G$137</f>
        <v>739660471.40476191</v>
      </c>
      <c r="F192" s="51">
        <f>IFERROR((InputData[[#This Row],[GROSS PROFIT]]/InputData[[#This Row],[REVENUE]])*100%,0)</f>
        <v>0.15274942353250326</v>
      </c>
      <c r="G192" s="3" t="str">
        <f>VLOOKUP(InputData[[#This Row],[PRODUCT ID]],Master[],2,0)</f>
        <v>Steel Creative &amp; Component</v>
      </c>
      <c r="H192" s="3" t="str">
        <f>VLOOKUP(InputData[[#This Row],[PRODUCT ID]],Master[],3,0)</f>
        <v>KBK</v>
      </c>
      <c r="I192" s="3" t="str">
        <f>TEXT(InputData[[#This Row],[MONTH]],"MMMMMM")</f>
        <v>October</v>
      </c>
      <c r="J192" s="3">
        <f>YEAR(InputData[[#This Row],[MONTH]])</f>
        <v>2024</v>
      </c>
      <c r="K192" s="3" t="str">
        <f>"SMT-"&amp;CHOOSE(MONTH(InputData[[#This Row],[MONTH]]),1,1,1,1,1,1,2,2,2,2,2,2)</f>
        <v>SMT-2</v>
      </c>
      <c r="L192" s="20"/>
    </row>
    <row r="193" spans="1:12">
      <c r="A193" s="4">
        <v>45566</v>
      </c>
      <c r="B193" s="3" t="s">
        <v>24</v>
      </c>
      <c r="C193" s="11">
        <f>'[12]Realisasi Hilirisasi'!E$138</f>
        <v>989.19540000000006</v>
      </c>
      <c r="D193" s="7">
        <f>'[12]Realisasi Hilirisasi'!F$138</f>
        <v>12599859813.66</v>
      </c>
      <c r="E193" s="5">
        <f>'[12]Realisasi Hilirisasi'!G$138</f>
        <v>989195400.00000012</v>
      </c>
      <c r="F193" s="51">
        <f>IFERROR((InputData[[#This Row],[GROSS PROFIT]]/InputData[[#This Row],[REVENUE]])*100%,0)</f>
        <v>7.8508444905678612E-2</v>
      </c>
      <c r="G193" s="3" t="str">
        <f>VLOOKUP(InputData[[#This Row],[PRODUCT ID]],Master[],2,0)</f>
        <v>Cut to Lenght</v>
      </c>
      <c r="H193" s="3" t="str">
        <f>VLOOKUP(InputData[[#This Row],[PRODUCT ID]],Master[],3,0)</f>
        <v>KBK</v>
      </c>
      <c r="I193" s="3" t="str">
        <f>TEXT(InputData[[#This Row],[MONTH]],"MMMMMM")</f>
        <v>October</v>
      </c>
      <c r="J193" s="3">
        <f>YEAR(InputData[[#This Row],[MONTH]])</f>
        <v>2024</v>
      </c>
      <c r="K193" s="3" t="str">
        <f>"SMT-"&amp;CHOOSE(MONTH(InputData[[#This Row],[MONTH]]),1,1,1,1,1,1,2,2,2,2,2,2)</f>
        <v>SMT-2</v>
      </c>
      <c r="L193" s="20"/>
    </row>
    <row r="194" spans="1:12">
      <c r="A194" s="4">
        <v>45566</v>
      </c>
      <c r="B194" s="3" t="s">
        <v>12</v>
      </c>
      <c r="C194" s="11">
        <f>'[12]Realisasi Hilirisasi'!E$139</f>
        <v>93.2</v>
      </c>
      <c r="D194" s="7">
        <f>'[12]Realisasi Hilirisasi'!F$139</f>
        <v>1669570231.5315313</v>
      </c>
      <c r="E194" s="5">
        <f>'[12]Realisasi Hilirisasi'!G$139</f>
        <v>23206800</v>
      </c>
      <c r="F194" s="51">
        <f>IFERROR((InputData[[#This Row],[GROSS PROFIT]]/InputData[[#This Row],[REVENUE]])*100%,0)</f>
        <v>1.3899864505078005E-2</v>
      </c>
      <c r="G194" s="3" t="str">
        <f>VLOOKUP(InputData[[#This Row],[PRODUCT ID]],Master[],2,0)</f>
        <v>Electric Pole</v>
      </c>
      <c r="H194" s="3" t="str">
        <f>VLOOKUP(InputData[[#This Row],[PRODUCT ID]],Master[],3,0)</f>
        <v>KPI</v>
      </c>
      <c r="I194" s="3" t="str">
        <f>TEXT(InputData[[#This Row],[MONTH]],"MMMMMM")</f>
        <v>October</v>
      </c>
      <c r="J194" s="3">
        <f>YEAR(InputData[[#This Row],[MONTH]])</f>
        <v>2024</v>
      </c>
      <c r="K194" s="3" t="str">
        <f>"SMT-"&amp;CHOOSE(MONTH(InputData[[#This Row],[MONTH]]),1,1,1,1,1,1,2,2,2,2,2,2)</f>
        <v>SMT-2</v>
      </c>
      <c r="L194" s="20">
        <v>650</v>
      </c>
    </row>
    <row r="195" spans="1:12">
      <c r="A195" s="4">
        <v>45566</v>
      </c>
      <c r="B195" s="3" t="s">
        <v>19</v>
      </c>
      <c r="C195" s="11">
        <f>'[12]Realisasi Hilirisasi'!E$142</f>
        <v>437.0455525669127</v>
      </c>
      <c r="D195" s="7">
        <f>'[12]Realisasi Hilirisasi'!F$142</f>
        <v>7382923507.3509998</v>
      </c>
      <c r="E195" s="5">
        <f>'[12]Realisasi Hilirisasi'!G$142</f>
        <v>109107243.95099926</v>
      </c>
      <c r="F195" s="51">
        <f>IFERROR((InputData[[#This Row],[GROSS PROFIT]]/InputData[[#This Row],[REVENUE]])*100%,0)</f>
        <v>1.477832512315261E-2</v>
      </c>
      <c r="G195" s="3" t="str">
        <f>VLOOKUP(InputData[[#This Row],[PRODUCT ID]],Master[],2,0)</f>
        <v>Baja Ringan</v>
      </c>
      <c r="H195" s="3" t="str">
        <f>VLOOKUP(InputData[[#This Row],[PRODUCT ID]],Master[],3,0)</f>
        <v>KNI</v>
      </c>
      <c r="I195" s="3" t="str">
        <f>TEXT(InputData[[#This Row],[MONTH]],"MMMMMM")</f>
        <v>October</v>
      </c>
      <c r="J195" s="3">
        <f>YEAR(InputData[[#This Row],[MONTH]])</f>
        <v>2024</v>
      </c>
      <c r="K195" s="3" t="str">
        <f>"SMT-"&amp;CHOOSE(MONTH(InputData[[#This Row],[MONTH]]),1,1,1,1,1,1,2,2,2,2,2,2)</f>
        <v>SMT-2</v>
      </c>
      <c r="L195" s="20">
        <v>550</v>
      </c>
    </row>
    <row r="196" spans="1:12">
      <c r="A196" s="4">
        <v>45566</v>
      </c>
      <c r="B196" s="3" t="s">
        <v>21</v>
      </c>
      <c r="C196" s="11">
        <f>'[12]Realisasi Hilirisasi'!E$147</f>
        <v>0</v>
      </c>
      <c r="D196" s="7">
        <f>'[12]Realisasi Hilirisasi'!F$147</f>
        <v>0</v>
      </c>
      <c r="E196" s="5">
        <f>'[12]Realisasi Hilirisasi'!G$147</f>
        <v>0</v>
      </c>
      <c r="F196" s="51">
        <f>IFERROR((InputData[[#This Row],[GROSS PROFIT]]/InputData[[#This Row],[REVENUE]])*100%,0)</f>
        <v>0</v>
      </c>
      <c r="G196" s="3" t="str">
        <f>VLOOKUP(InputData[[#This Row],[PRODUCT ID]],Master[],2,0)</f>
        <v>Welded Beam</v>
      </c>
      <c r="H196" s="3" t="str">
        <f>VLOOKUP(InputData[[#This Row],[PRODUCT ID]],Master[],3,0)</f>
        <v>KPdP</v>
      </c>
      <c r="I196" s="3" t="str">
        <f>TEXT(InputData[[#This Row],[MONTH]],"MMMMMM")</f>
        <v>October</v>
      </c>
      <c r="J196" s="3">
        <f>YEAR(InputData[[#This Row],[MONTH]])</f>
        <v>2024</v>
      </c>
      <c r="K196" s="3" t="str">
        <f>"SMT-"&amp;CHOOSE(MONTH(InputData[[#This Row],[MONTH]]),1,1,1,1,1,1,2,2,2,2,2,2)</f>
        <v>SMT-2</v>
      </c>
      <c r="L196" s="20">
        <v>300</v>
      </c>
    </row>
    <row r="197" spans="1:12">
      <c r="A197" s="4">
        <v>45597</v>
      </c>
      <c r="B197" s="3" t="s">
        <v>4</v>
      </c>
      <c r="C197" s="11">
        <f>'[13]Realisasi Hilirisasi'!E$148</f>
        <v>25.231710000000003</v>
      </c>
      <c r="D197" s="7">
        <f>'[13]Realisasi Hilirisasi'!F$148</f>
        <v>458643713.60000002</v>
      </c>
      <c r="E197" s="5">
        <f>'[13]Realisasi Hilirisasi'!G$148</f>
        <v>50463420</v>
      </c>
      <c r="F197" s="51">
        <f>IFERROR((InputData[[#This Row],[GROSS PROFIT]]/InputData[[#This Row],[REVENUE]])*100%,0)</f>
        <v>0.11002749738768031</v>
      </c>
      <c r="G197" s="3" t="str">
        <f>VLOOKUP(InputData[[#This Row],[PRODUCT ID]],Master[],2,0)</f>
        <v>Tower</v>
      </c>
      <c r="H197" s="3" t="str">
        <f>VLOOKUP(InputData[[#This Row],[PRODUCT ID]],Master[],3,0)</f>
        <v>KBK</v>
      </c>
      <c r="I197" s="3" t="str">
        <f>TEXT(InputData[[#This Row],[MONTH]],"MMMMMM")</f>
        <v>November</v>
      </c>
      <c r="J197" s="3">
        <f>YEAR(InputData[[#This Row],[MONTH]])</f>
        <v>2024</v>
      </c>
      <c r="K197" s="3" t="str">
        <f>"SMT-"&amp;CHOOSE(MONTH(InputData[[#This Row],[MONTH]]),1,1,1,1,1,1,2,2,2,2,2,2)</f>
        <v>SMT-2</v>
      </c>
      <c r="L197" s="20">
        <v>1475</v>
      </c>
    </row>
    <row r="198" spans="1:12">
      <c r="A198" s="4">
        <v>45597</v>
      </c>
      <c r="B198" s="3" t="s">
        <v>9</v>
      </c>
      <c r="C198" s="11">
        <f>'[13]Realisasi Hilirisasi'!E$149</f>
        <v>295.88666590826489</v>
      </c>
      <c r="D198" s="7">
        <f>'[13]Realisasi Hilirisasi'!F$149</f>
        <v>10547132814.070002</v>
      </c>
      <c r="E198" s="5">
        <f>'[13]Realisasi Hilirisasi'!G$149</f>
        <v>701845649.97499418</v>
      </c>
      <c r="F198" s="51">
        <f>IFERROR((InputData[[#This Row],[GROSS PROFIT]]/InputData[[#This Row],[REVENUE]])*100%,0)</f>
        <v>6.6543738696333066E-2</v>
      </c>
      <c r="G198" s="3" t="str">
        <f>VLOOKUP(InputData[[#This Row],[PRODUCT ID]],Master[],2,0)</f>
        <v>Steel Structure</v>
      </c>
      <c r="H198" s="3" t="str">
        <f>VLOOKUP(InputData[[#This Row],[PRODUCT ID]],Master[],3,0)</f>
        <v>KBK</v>
      </c>
      <c r="I198" s="3" t="str">
        <f>TEXT(InputData[[#This Row],[MONTH]],"MMMMMM")</f>
        <v>November</v>
      </c>
      <c r="J198" s="3">
        <f>YEAR(InputData[[#This Row],[MONTH]])</f>
        <v>2024</v>
      </c>
      <c r="K198" s="3" t="str">
        <f>"SMT-"&amp;CHOOSE(MONTH(InputData[[#This Row],[MONTH]]),1,1,1,1,1,1,2,2,2,2,2,2)</f>
        <v>SMT-2</v>
      </c>
      <c r="L198" s="20"/>
    </row>
    <row r="199" spans="1:12">
      <c r="A199" s="4">
        <v>45597</v>
      </c>
      <c r="B199" s="3" t="s">
        <v>22</v>
      </c>
      <c r="C199" s="11">
        <f>'[13]Realisasi Hilirisasi'!E$150</f>
        <v>34.631399999999999</v>
      </c>
      <c r="D199" s="7">
        <f>'[13]Realisasi Hilirisasi'!F$150</f>
        <v>972000000</v>
      </c>
      <c r="E199" s="5">
        <f>'[13]Realisasi Hilirisasi'!G$150</f>
        <v>51947100</v>
      </c>
      <c r="F199" s="51">
        <f>IFERROR((InputData[[#This Row],[GROSS PROFIT]]/InputData[[#This Row],[REVENUE]])*100%,0)</f>
        <v>5.3443518518518515E-2</v>
      </c>
      <c r="G199" s="3" t="str">
        <f>VLOOKUP(InputData[[#This Row],[PRODUCT ID]],Master[],2,0)</f>
        <v>Modular</v>
      </c>
      <c r="H199" s="3" t="str">
        <f>VLOOKUP(InputData[[#This Row],[PRODUCT ID]],Master[],3,0)</f>
        <v>KBK</v>
      </c>
      <c r="I199" s="3" t="str">
        <f>TEXT(InputData[[#This Row],[MONTH]],"MMMMMM")</f>
        <v>November</v>
      </c>
      <c r="J199" s="3">
        <f>YEAR(InputData[[#This Row],[MONTH]])</f>
        <v>2024</v>
      </c>
      <c r="K199" s="3" t="str">
        <f>"SMT-"&amp;CHOOSE(MONTH(InputData[[#This Row],[MONTH]]),1,1,1,1,1,1,2,2,2,2,2,2)</f>
        <v>SMT-2</v>
      </c>
      <c r="L199" s="20"/>
    </row>
    <row r="200" spans="1:12">
      <c r="A200" s="4">
        <v>45597</v>
      </c>
      <c r="B200" s="3" t="s">
        <v>11</v>
      </c>
      <c r="C200" s="11">
        <f>'[13]Realisasi Hilirisasi'!E$151</f>
        <v>300.52264526315793</v>
      </c>
      <c r="D200" s="7">
        <f>'[13]Realisasi Hilirisasi'!F$151</f>
        <v>5074196168.1599998</v>
      </c>
      <c r="E200" s="5">
        <f>'[13]Realisasi Hilirisasi'!G$151</f>
        <v>623362922.63157892</v>
      </c>
      <c r="F200" s="51">
        <f>IFERROR((InputData[[#This Row],[GROSS PROFIT]]/InputData[[#This Row],[REVENUE]])*100%,0)</f>
        <v>0.12284959074761632</v>
      </c>
      <c r="G200" s="3" t="str">
        <f>VLOOKUP(InputData[[#This Row],[PRODUCT ID]],Master[],2,0)</f>
        <v>Steel Creative &amp; Component</v>
      </c>
      <c r="H200" s="3" t="str">
        <f>VLOOKUP(InputData[[#This Row],[PRODUCT ID]],Master[],3,0)</f>
        <v>KBK</v>
      </c>
      <c r="I200" s="3" t="str">
        <f>TEXT(InputData[[#This Row],[MONTH]],"MMMMMM")</f>
        <v>November</v>
      </c>
      <c r="J200" s="3">
        <f>YEAR(InputData[[#This Row],[MONTH]])</f>
        <v>2024</v>
      </c>
      <c r="K200" s="3" t="str">
        <f>"SMT-"&amp;CHOOSE(MONTH(InputData[[#This Row],[MONTH]]),1,1,1,1,1,1,2,2,2,2,2,2)</f>
        <v>SMT-2</v>
      </c>
      <c r="L200" s="20"/>
    </row>
    <row r="201" spans="1:12">
      <c r="A201" s="4">
        <v>45597</v>
      </c>
      <c r="B201" s="3" t="s">
        <v>12</v>
      </c>
      <c r="C201" s="11">
        <f>'[13]Realisasi Hilirisasi'!E$153</f>
        <v>100</v>
      </c>
      <c r="D201" s="7">
        <f>'[13]Realisasi Hilirisasi'!F$153</f>
        <v>1791384368.5960636</v>
      </c>
      <c r="E201" s="5">
        <f>'[13]Realisasi Hilirisasi'!G$153</f>
        <v>25079381.160344888</v>
      </c>
      <c r="F201" s="51">
        <f>IFERROR((InputData[[#This Row],[GROSS PROFIT]]/InputData[[#This Row],[REVENUE]])*100%,0)</f>
        <v>1.3999999999999999E-2</v>
      </c>
      <c r="G201" s="3" t="str">
        <f>VLOOKUP(InputData[[#This Row],[PRODUCT ID]],Master[],2,0)</f>
        <v>Electric Pole</v>
      </c>
      <c r="H201" s="3" t="str">
        <f>VLOOKUP(InputData[[#This Row],[PRODUCT ID]],Master[],3,0)</f>
        <v>KPI</v>
      </c>
      <c r="I201" s="3" t="str">
        <f>TEXT(InputData[[#This Row],[MONTH]],"MMMMMM")</f>
        <v>November</v>
      </c>
      <c r="J201" s="3">
        <f>YEAR(InputData[[#This Row],[MONTH]])</f>
        <v>2024</v>
      </c>
      <c r="K201" s="3" t="str">
        <f>"SMT-"&amp;CHOOSE(MONTH(InputData[[#This Row],[MONTH]]),1,1,1,1,1,1,2,2,2,2,2,2)</f>
        <v>SMT-2</v>
      </c>
      <c r="L201" s="20">
        <v>550</v>
      </c>
    </row>
    <row r="202" spans="1:12">
      <c r="A202" s="4">
        <v>45597</v>
      </c>
      <c r="B202" s="3" t="s">
        <v>19</v>
      </c>
      <c r="C202" s="11">
        <f>'[13]Realisasi Hilirisasi'!E$156</f>
        <v>364.24962726004924</v>
      </c>
      <c r="D202" s="7">
        <f>'[13]Realisasi Hilirisasi'!F$156</f>
        <v>5986983513.9196606</v>
      </c>
      <c r="E202" s="5">
        <f>'[13]Realisasi Hilirisasi'!G$156</f>
        <v>88477588.875659451</v>
      </c>
      <c r="F202" s="51">
        <f>IFERROR((InputData[[#This Row],[GROSS PROFIT]]/InputData[[#This Row],[REVENUE]])*100%,0)</f>
        <v>1.4778325123152617E-2</v>
      </c>
      <c r="G202" s="3" t="str">
        <f>VLOOKUP(InputData[[#This Row],[PRODUCT ID]],Master[],2,0)</f>
        <v>Baja Ringan</v>
      </c>
      <c r="H202" s="3" t="str">
        <f>VLOOKUP(InputData[[#This Row],[PRODUCT ID]],Master[],3,0)</f>
        <v>KNI</v>
      </c>
      <c r="I202" s="3" t="str">
        <f>TEXT(InputData[[#This Row],[MONTH]],"MMMMMM")</f>
        <v>November</v>
      </c>
      <c r="J202" s="3">
        <f>YEAR(InputData[[#This Row],[MONTH]])</f>
        <v>2024</v>
      </c>
      <c r="K202" s="3" t="str">
        <f>"SMT-"&amp;CHOOSE(MONTH(InputData[[#This Row],[MONTH]]),1,1,1,1,1,1,2,2,2,2,2,2)</f>
        <v>SMT-2</v>
      </c>
      <c r="L202" s="20">
        <v>550</v>
      </c>
    </row>
    <row r="203" spans="1:12">
      <c r="A203" s="4">
        <v>45597</v>
      </c>
      <c r="B203" s="3" t="s">
        <v>20</v>
      </c>
      <c r="C203" s="11">
        <f>'[13]Realisasi Hilirisasi'!E$159</f>
        <v>1.518</v>
      </c>
      <c r="D203" s="7">
        <f>'[13]Realisasi Hilirisasi'!F$159</f>
        <v>20996884</v>
      </c>
      <c r="E203" s="5">
        <f>'[13]Realisasi Hilirisasi'!G$159</f>
        <v>2749139.8558558561</v>
      </c>
      <c r="F203" s="51">
        <f>IFERROR((InputData[[#This Row],[GROSS PROFIT]]/InputData[[#This Row],[REVENUE]])*100%,0)</f>
        <v>0.13093084935154456</v>
      </c>
      <c r="G203" s="3" t="str">
        <f>VLOOKUP(InputData[[#This Row],[PRODUCT ID]],Master[],2,0)</f>
        <v>CNP</v>
      </c>
      <c r="H203" s="3" t="str">
        <f>VLOOKUP(InputData[[#This Row],[PRODUCT ID]],Master[],3,0)</f>
        <v>KNI</v>
      </c>
      <c r="I203" s="3" t="str">
        <f>TEXT(InputData[[#This Row],[MONTH]],"MMMMMM")</f>
        <v>November</v>
      </c>
      <c r="J203" s="3">
        <f>YEAR(InputData[[#This Row],[MONTH]])</f>
        <v>2024</v>
      </c>
      <c r="K203" s="3" t="str">
        <f>"SMT-"&amp;CHOOSE(MONTH(InputData[[#This Row],[MONTH]]),1,1,1,1,1,1,2,2,2,2,2,2)</f>
        <v>SMT-2</v>
      </c>
      <c r="L203" s="20"/>
    </row>
    <row r="204" spans="1:12">
      <c r="A204" s="4">
        <v>45597</v>
      </c>
      <c r="B204" s="3" t="s">
        <v>21</v>
      </c>
      <c r="C204" s="11">
        <f>'[13]Realisasi Hilirisasi'!E$161</f>
        <v>0</v>
      </c>
      <c r="D204" s="7">
        <f>'[13]Realisasi Hilirisasi'!F$161</f>
        <v>0</v>
      </c>
      <c r="E204" s="5">
        <f>'[13]Realisasi Hilirisasi'!G$161</f>
        <v>0</v>
      </c>
      <c r="F204" s="51">
        <f>IFERROR((InputData[[#This Row],[GROSS PROFIT]]/InputData[[#This Row],[REVENUE]])*100%,0)</f>
        <v>0</v>
      </c>
      <c r="G204" s="3" t="str">
        <f>VLOOKUP(InputData[[#This Row],[PRODUCT ID]],Master[],2,0)</f>
        <v>Welded Beam</v>
      </c>
      <c r="H204" s="3" t="str">
        <f>VLOOKUP(InputData[[#This Row],[PRODUCT ID]],Master[],3,0)</f>
        <v>KPdP</v>
      </c>
      <c r="I204" s="3" t="str">
        <f>TEXT(InputData[[#This Row],[MONTH]],"MMMMMM")</f>
        <v>November</v>
      </c>
      <c r="J204" s="3">
        <f>YEAR(InputData[[#This Row],[MONTH]])</f>
        <v>2024</v>
      </c>
      <c r="K204" s="3" t="str">
        <f>"SMT-"&amp;CHOOSE(MONTH(InputData[[#This Row],[MONTH]]),1,1,1,1,1,1,2,2,2,2,2,2)</f>
        <v>SMT-2</v>
      </c>
      <c r="L204" s="20">
        <v>300</v>
      </c>
    </row>
    <row r="205" spans="1:12">
      <c r="A205" s="4">
        <v>45627</v>
      </c>
      <c r="B205" s="3" t="s">
        <v>4</v>
      </c>
      <c r="C205" s="11">
        <f>'[14]Realisasi Hilirisasi'!$E$162</f>
        <v>16.001999999999999</v>
      </c>
      <c r="D205" s="7">
        <f>'[14]Realisasi Hilirisasi'!F$162</f>
        <v>368046000</v>
      </c>
      <c r="E205" s="7">
        <f>'[14]Realisasi Hilirisasi'!G$162</f>
        <v>40005000</v>
      </c>
      <c r="F205" s="51">
        <f>IFERROR((InputData[[#This Row],[GROSS PROFIT]]/InputData[[#This Row],[REVENUE]])*100%,0)</f>
        <v>0.10869565217391304</v>
      </c>
      <c r="G205" s="3" t="str">
        <f>VLOOKUP(InputData[[#This Row],[PRODUCT ID]],Master[],2,0)</f>
        <v>Tower</v>
      </c>
      <c r="H205" s="3" t="str">
        <f>VLOOKUP(InputData[[#This Row],[PRODUCT ID]],Master[],3,0)</f>
        <v>KBK</v>
      </c>
      <c r="I205" s="3" t="str">
        <f>TEXT(InputData[[#This Row],[MONTH]],"MMMMMM")</f>
        <v>December</v>
      </c>
      <c r="J205" s="3">
        <f>YEAR(InputData[[#This Row],[MONTH]])</f>
        <v>2024</v>
      </c>
      <c r="K205" s="3" t="str">
        <f>"SMT-"&amp;CHOOSE(MONTH(InputData[[#This Row],[MONTH]]),1,1,1,1,1,1,2,2,2,2,2,2)</f>
        <v>SMT-2</v>
      </c>
      <c r="L205" s="20">
        <v>1575</v>
      </c>
    </row>
    <row r="206" spans="1:12">
      <c r="A206" s="4">
        <v>45627</v>
      </c>
      <c r="B206" s="3" t="s">
        <v>9</v>
      </c>
      <c r="C206" s="12">
        <f>'[14]Realisasi Hilirisasi'!E$163</f>
        <v>-35.893562918020301</v>
      </c>
      <c r="D206" s="7">
        <f>'[14]Realisasi Hilirisasi'!F$163</f>
        <v>-834499774.4000001</v>
      </c>
      <c r="E206" s="7">
        <f>'[14]Realisasi Hilirisasi'!G$163</f>
        <v>-100729977.44000001</v>
      </c>
      <c r="F206" s="51">
        <f>IFERROR((InputData[[#This Row],[GROSS PROFIT]]/InputData[[#This Row],[REVENUE]])*100%,0)</f>
        <v>0.12070701578370613</v>
      </c>
      <c r="G206" s="3" t="str">
        <f>VLOOKUP(InputData[[#This Row],[PRODUCT ID]],Master[],2,0)</f>
        <v>Steel Structure</v>
      </c>
      <c r="H206" s="3" t="str">
        <f>VLOOKUP(InputData[[#This Row],[PRODUCT ID]],Master[],3,0)</f>
        <v>KBK</v>
      </c>
      <c r="I206" s="3" t="str">
        <f>TEXT(InputData[[#This Row],[MONTH]],"MMMMMM")</f>
        <v>December</v>
      </c>
      <c r="J206" s="3">
        <f>YEAR(InputData[[#This Row],[MONTH]])</f>
        <v>2024</v>
      </c>
      <c r="K206" s="3" t="str">
        <f>"SMT-"&amp;CHOOSE(MONTH(InputData[[#This Row],[MONTH]]),1,1,1,1,1,1,2,2,2,2,2,2)</f>
        <v>SMT-2</v>
      </c>
      <c r="L206" s="20"/>
    </row>
    <row r="207" spans="1:12">
      <c r="A207" s="4">
        <v>45627</v>
      </c>
      <c r="B207" s="3" t="s">
        <v>22</v>
      </c>
      <c r="C207" s="6">
        <f>'[14]Realisasi Hilirisasi'!E$164</f>
        <v>9.3000000000000007</v>
      </c>
      <c r="D207" s="7">
        <f>'[14]Realisasi Hilirisasi'!F$164</f>
        <v>296250000</v>
      </c>
      <c r="E207" s="5">
        <f>'[14]Realisasi Hilirisasi'!G$164</f>
        <v>23250000</v>
      </c>
      <c r="F207" s="51">
        <f>IFERROR((InputData[[#This Row],[GROSS PROFIT]]/InputData[[#This Row],[REVENUE]])*100%,0)</f>
        <v>7.848101265822785E-2</v>
      </c>
      <c r="G207" s="3" t="str">
        <f>VLOOKUP(InputData[[#This Row],[PRODUCT ID]],Master[],2,0)</f>
        <v>Modular</v>
      </c>
      <c r="H207" s="3" t="str">
        <f>VLOOKUP(InputData[[#This Row],[PRODUCT ID]],Master[],3,0)</f>
        <v>KBK</v>
      </c>
      <c r="I207" s="3" t="str">
        <f>TEXT(InputData[[#This Row],[MONTH]],"MMMMMM")</f>
        <v>December</v>
      </c>
      <c r="J207" s="3">
        <f>YEAR(InputData[[#This Row],[MONTH]])</f>
        <v>2024</v>
      </c>
      <c r="K207" s="3" t="str">
        <f>"SMT-"&amp;CHOOSE(MONTH(InputData[[#This Row],[MONTH]]),1,1,1,1,1,1,2,2,2,2,2,2)</f>
        <v>SMT-2</v>
      </c>
      <c r="L207" s="20"/>
    </row>
    <row r="208" spans="1:12">
      <c r="A208" s="4">
        <v>45627</v>
      </c>
      <c r="B208" s="3" t="s">
        <v>11</v>
      </c>
      <c r="C208" s="11">
        <f>'[14]Realisasi Hilirisasi'!E$165</f>
        <v>1251.1953057602341</v>
      </c>
      <c r="D208" s="7">
        <f>'[14]Realisasi Hilirisasi'!F$165</f>
        <v>19543470383.450005</v>
      </c>
      <c r="E208" s="5">
        <f>'[14]Realisasi Hilirisasi'!G$165</f>
        <v>2556508408.8625731</v>
      </c>
      <c r="F208" s="51">
        <f>IFERROR((InputData[[#This Row],[GROSS PROFIT]]/InputData[[#This Row],[REVENUE]])*100%,0)</f>
        <v>0.13081138399183703</v>
      </c>
      <c r="G208" s="3" t="str">
        <f>VLOOKUP(InputData[[#This Row],[PRODUCT ID]],Master[],2,0)</f>
        <v>Steel Creative &amp; Component</v>
      </c>
      <c r="H208" s="3" t="str">
        <f>VLOOKUP(InputData[[#This Row],[PRODUCT ID]],Master[],3,0)</f>
        <v>KBK</v>
      </c>
      <c r="I208" s="3" t="str">
        <f>TEXT(InputData[[#This Row],[MONTH]],"MMMMMM")</f>
        <v>December</v>
      </c>
      <c r="J208" s="3">
        <f>YEAR(InputData[[#This Row],[MONTH]])</f>
        <v>2024</v>
      </c>
      <c r="K208" s="3" t="str">
        <f>"SMT-"&amp;CHOOSE(MONTH(InputData[[#This Row],[MONTH]]),1,1,1,1,1,1,2,2,2,2,2,2)</f>
        <v>SMT-2</v>
      </c>
      <c r="L208" s="20"/>
    </row>
    <row r="209" spans="1:12">
      <c r="A209" s="4">
        <v>45627</v>
      </c>
      <c r="B209" s="3" t="s">
        <v>12</v>
      </c>
      <c r="C209" s="6">
        <f>'[14]Realisasi Hilirisasi'!E$167</f>
        <v>194</v>
      </c>
      <c r="D209" s="7">
        <f>'[14]Realisasi Hilirisasi'!F$167</f>
        <v>3387374277</v>
      </c>
      <c r="E209" s="5">
        <f>'[14]Realisasi Hilirisasi'!G$167</f>
        <v>48343350</v>
      </c>
      <c r="F209" s="51">
        <f>IFERROR((InputData[[#This Row],[GROSS PROFIT]]/InputData[[#This Row],[REVENUE]])*100%,0)</f>
        <v>1.4271629305402557E-2</v>
      </c>
      <c r="G209" s="3" t="str">
        <f>VLOOKUP(InputData[[#This Row],[PRODUCT ID]],Master[],2,0)</f>
        <v>Electric Pole</v>
      </c>
      <c r="H209" s="3" t="str">
        <f>VLOOKUP(InputData[[#This Row],[PRODUCT ID]],Master[],3,0)</f>
        <v>KPI</v>
      </c>
      <c r="I209" s="3" t="str">
        <f>TEXT(InputData[[#This Row],[MONTH]],"MMMMMM")</f>
        <v>December</v>
      </c>
      <c r="J209" s="3">
        <f>YEAR(InputData[[#This Row],[MONTH]])</f>
        <v>2024</v>
      </c>
      <c r="K209" s="3" t="str">
        <f>"SMT-"&amp;CHOOSE(MONTH(InputData[[#This Row],[MONTH]]),1,1,1,1,1,1,2,2,2,2,2,2)</f>
        <v>SMT-2</v>
      </c>
      <c r="L209" s="20">
        <v>575</v>
      </c>
    </row>
    <row r="210" spans="1:12">
      <c r="A210" s="4">
        <v>45627</v>
      </c>
      <c r="B210" s="3" t="s">
        <v>19</v>
      </c>
      <c r="C210" s="11">
        <f>'[14]Realisasi Hilirisasi'!E$170</f>
        <v>376.60138737079581</v>
      </c>
      <c r="D210" s="7">
        <f>'[14]Realisasi Hilirisasi'!F$170</f>
        <v>6353009269.411768</v>
      </c>
      <c r="E210" s="5">
        <f>'[14]Realisasi Hilirisasi'!G$170</f>
        <v>93886837.013138741</v>
      </c>
      <c r="F210" s="51">
        <f>IFERROR((InputData[[#This Row],[GROSS PROFIT]]/InputData[[#This Row],[REVENUE]])*100%,0)</f>
        <v>1.4778325204904325E-2</v>
      </c>
      <c r="G210" s="3" t="str">
        <f>VLOOKUP(InputData[[#This Row],[PRODUCT ID]],Master[],2,0)</f>
        <v>Baja Ringan</v>
      </c>
      <c r="H210" s="3" t="str">
        <f>VLOOKUP(InputData[[#This Row],[PRODUCT ID]],Master[],3,0)</f>
        <v>KNI</v>
      </c>
      <c r="I210" s="3" t="str">
        <f>TEXT(InputData[[#This Row],[MONTH]],"MMMMMM")</f>
        <v>December</v>
      </c>
      <c r="J210" s="3">
        <f>YEAR(InputData[[#This Row],[MONTH]])</f>
        <v>2024</v>
      </c>
      <c r="K210" s="3" t="str">
        <f>"SMT-"&amp;CHOOSE(MONTH(InputData[[#This Row],[MONTH]]),1,1,1,1,1,1,2,2,2,2,2,2)</f>
        <v>SMT-2</v>
      </c>
      <c r="L210" s="20">
        <v>150</v>
      </c>
    </row>
    <row r="211" spans="1:12">
      <c r="A211" s="4">
        <v>45627</v>
      </c>
      <c r="B211" s="3" t="s">
        <v>21</v>
      </c>
      <c r="C211" s="6">
        <f>'[14]Realisasi Hilirisasi'!E$175</f>
        <v>0</v>
      </c>
      <c r="D211" s="7">
        <f>'[14]Realisasi Hilirisasi'!F$175</f>
        <v>0</v>
      </c>
      <c r="E211" s="5">
        <f>'[14]Realisasi Hilirisasi'!G$175</f>
        <v>0</v>
      </c>
      <c r="F211" s="51">
        <f>IFERROR((InputData[[#This Row],[GROSS PROFIT]]/InputData[[#This Row],[REVENUE]])*100%,0)</f>
        <v>0</v>
      </c>
      <c r="G211" s="3" t="str">
        <f>VLOOKUP(InputData[[#This Row],[PRODUCT ID]],Master[],2,0)</f>
        <v>Welded Beam</v>
      </c>
      <c r="H211" s="3" t="str">
        <f>VLOOKUP(InputData[[#This Row],[PRODUCT ID]],Master[],3,0)</f>
        <v>KPdP</v>
      </c>
      <c r="I211" s="3" t="str">
        <f>TEXT(InputData[[#This Row],[MONTH]],"MMMMMM")</f>
        <v>December</v>
      </c>
      <c r="J211" s="3">
        <f>YEAR(InputData[[#This Row],[MONTH]])</f>
        <v>2024</v>
      </c>
      <c r="K211" s="3" t="str">
        <f>"SMT-"&amp;CHOOSE(MONTH(InputData[[#This Row],[MONTH]]),1,1,1,1,1,1,2,2,2,2,2,2)</f>
        <v>SMT-2</v>
      </c>
      <c r="L211" s="20">
        <v>225</v>
      </c>
    </row>
    <row r="212" spans="1:12">
      <c r="A212" s="4">
        <v>45658</v>
      </c>
      <c r="B212" s="3" t="s">
        <v>4</v>
      </c>
      <c r="C212" s="11">
        <f>'[15]Realisasi Hilirisasi'!$E$8</f>
        <v>12.229940000000001</v>
      </c>
      <c r="D212" s="7">
        <f>'[15]Realisasi Hilirisasi'!F8</f>
        <v>274014772</v>
      </c>
      <c r="E212" s="5">
        <f>'[15]Realisasi Hilirisasi'!G8</f>
        <v>24459880</v>
      </c>
      <c r="F212" s="51">
        <f>IFERROR((InputData[[#This Row],[GROSS PROFIT]]/InputData[[#This Row],[REVENUE]])*100%,0)</f>
        <v>8.9264822554894957E-2</v>
      </c>
      <c r="G212" s="3" t="str">
        <f>VLOOKUP(InputData[[#This Row],[PRODUCT ID]],Master[],2,0)</f>
        <v>Tower</v>
      </c>
      <c r="H212" s="3" t="str">
        <f>VLOOKUP(InputData[[#This Row],[PRODUCT ID]],Master[],3,0)</f>
        <v>KBK</v>
      </c>
      <c r="I212" s="3" t="str">
        <f>TEXT(InputData[[#This Row],[MONTH]],"MMMMMM")</f>
        <v>January</v>
      </c>
      <c r="J212" s="3">
        <f>YEAR(InputData[[#This Row],[MONTH]])</f>
        <v>2025</v>
      </c>
      <c r="K212" s="3" t="str">
        <f>"SMT-"&amp;CHOOSE(MONTH(InputData[[#This Row],[MONTH]]),1,1,1,1,1,1,2,2,2,2,2,2)</f>
        <v>SMT-1</v>
      </c>
      <c r="L212" s="20"/>
    </row>
    <row r="213" spans="1:12">
      <c r="A213" s="4">
        <v>45658</v>
      </c>
      <c r="B213" s="3" t="s">
        <v>9</v>
      </c>
      <c r="C213" s="11">
        <f>'[15]Realisasi Hilirisasi'!E9</f>
        <v>20.283999999999999</v>
      </c>
      <c r="D213" s="7">
        <f>'[15]Realisasi Hilirisasi'!F9</f>
        <v>507100000</v>
      </c>
      <c r="E213" s="5">
        <f>'[15]Realisasi Hilirisasi'!G9</f>
        <v>25355000</v>
      </c>
      <c r="F213" s="51">
        <f>IFERROR((InputData[[#This Row],[GROSS PROFIT]]/InputData[[#This Row],[REVENUE]])*100%,0)</f>
        <v>0.05</v>
      </c>
      <c r="G213" s="3" t="str">
        <f>VLOOKUP(InputData[[#This Row],[PRODUCT ID]],Master[],2,0)</f>
        <v>Steel Structure</v>
      </c>
      <c r="H213" s="3" t="str">
        <f>VLOOKUP(InputData[[#This Row],[PRODUCT ID]],Master[],3,0)</f>
        <v>KBK</v>
      </c>
      <c r="I213" s="3" t="str">
        <f>TEXT(InputData[[#This Row],[MONTH]],"MMMMMM")</f>
        <v>January</v>
      </c>
      <c r="J213" s="3">
        <f>YEAR(InputData[[#This Row],[MONTH]])</f>
        <v>2025</v>
      </c>
      <c r="K213" s="3" t="str">
        <f>"SMT-"&amp;CHOOSE(MONTH(InputData[[#This Row],[MONTH]]),1,1,1,1,1,1,2,2,2,2,2,2)</f>
        <v>SMT-1</v>
      </c>
      <c r="L213" s="20"/>
    </row>
    <row r="214" spans="1:12">
      <c r="A214" s="4">
        <v>45658</v>
      </c>
      <c r="B214" s="3" t="s">
        <v>22</v>
      </c>
      <c r="C214" s="11">
        <f>'[15]Realisasi Hilirisasi'!E10</f>
        <v>9.3000000000000007</v>
      </c>
      <c r="D214" s="7">
        <f>'[15]Realisasi Hilirisasi'!F10</f>
        <v>296250000</v>
      </c>
      <c r="E214" s="5">
        <f>'[15]Realisasi Hilirisasi'!G10</f>
        <v>13950000</v>
      </c>
      <c r="F214" s="51">
        <f>IFERROR((InputData[[#This Row],[GROSS PROFIT]]/InputData[[#This Row],[REVENUE]])*100%,0)</f>
        <v>4.7088607594936709E-2</v>
      </c>
      <c r="G214" s="3" t="str">
        <f>VLOOKUP(InputData[[#This Row],[PRODUCT ID]],Master[],2,0)</f>
        <v>Modular</v>
      </c>
      <c r="H214" s="3" t="str">
        <f>VLOOKUP(InputData[[#This Row],[PRODUCT ID]],Master[],3,0)</f>
        <v>KBK</v>
      </c>
      <c r="I214" s="3" t="str">
        <f>TEXT(InputData[[#This Row],[MONTH]],"MMMMMM")</f>
        <v>January</v>
      </c>
      <c r="J214" s="3">
        <f>YEAR(InputData[[#This Row],[MONTH]])</f>
        <v>2025</v>
      </c>
      <c r="K214" s="3" t="str">
        <f>"SMT-"&amp;CHOOSE(MONTH(InputData[[#This Row],[MONTH]]),1,1,1,1,1,1,2,2,2,2,2,2)</f>
        <v>SMT-1</v>
      </c>
      <c r="L214" s="20"/>
    </row>
    <row r="215" spans="1:12">
      <c r="A215" s="4">
        <v>45658</v>
      </c>
      <c r="B215" s="3" t="s">
        <v>11</v>
      </c>
      <c r="C215" s="11">
        <f>'[15]Realisasi Hilirisasi'!E11</f>
        <v>101.51039999999999</v>
      </c>
      <c r="D215" s="7">
        <f>'[15]Realisasi Hilirisasi'!F11</f>
        <v>2244321462.48</v>
      </c>
      <c r="E215" s="5">
        <f>'[15]Realisasi Hilirisasi'!G11</f>
        <v>199428000</v>
      </c>
      <c r="F215" s="51">
        <f>IFERROR((InputData[[#This Row],[GROSS PROFIT]]/InputData[[#This Row],[REVENUE]])*100%,0)</f>
        <v>8.8858928337133061E-2</v>
      </c>
      <c r="G215" s="3" t="str">
        <f>VLOOKUP(InputData[[#This Row],[PRODUCT ID]],Master[],2,0)</f>
        <v>Steel Creative &amp; Component</v>
      </c>
      <c r="H215" s="3" t="str">
        <f>VLOOKUP(InputData[[#This Row],[PRODUCT ID]],Master[],3,0)</f>
        <v>KBK</v>
      </c>
      <c r="I215" s="3" t="str">
        <f>TEXT(InputData[[#This Row],[MONTH]],"MMMMMM")</f>
        <v>January</v>
      </c>
      <c r="J215" s="3">
        <f>YEAR(InputData[[#This Row],[MONTH]])</f>
        <v>2025</v>
      </c>
      <c r="K215" s="3" t="str">
        <f>"SMT-"&amp;CHOOSE(MONTH(InputData[[#This Row],[MONTH]]),1,1,1,1,1,1,2,2,2,2,2,2)</f>
        <v>SMT-1</v>
      </c>
      <c r="L215" s="20"/>
    </row>
    <row r="216" spans="1:12">
      <c r="A216" s="4">
        <v>45658</v>
      </c>
      <c r="B216" s="3" t="s">
        <v>24</v>
      </c>
      <c r="C216" s="11">
        <f>'[15]Realisasi Hilirisasi'!E12</f>
        <v>0</v>
      </c>
      <c r="D216" s="7">
        <f>'[15]Realisasi Hilirisasi'!F12</f>
        <v>0</v>
      </c>
      <c r="E216" s="5">
        <f>'[15]Realisasi Hilirisasi'!G12</f>
        <v>0</v>
      </c>
      <c r="F216" s="51">
        <f>IFERROR((InputData[[#This Row],[GROSS PROFIT]]/InputData[[#This Row],[REVENUE]])*100%,0)</f>
        <v>0</v>
      </c>
      <c r="G216" s="3" t="str">
        <f>VLOOKUP(InputData[[#This Row],[PRODUCT ID]],Master[],2,0)</f>
        <v>Cut to Lenght</v>
      </c>
      <c r="H216" s="3" t="str">
        <f>VLOOKUP(InputData[[#This Row],[PRODUCT ID]],Master[],3,0)</f>
        <v>KBK</v>
      </c>
      <c r="I216" s="3" t="str">
        <f>TEXT(InputData[[#This Row],[MONTH]],"MMMMMM")</f>
        <v>January</v>
      </c>
      <c r="J216" s="3">
        <f>YEAR(InputData[[#This Row],[MONTH]])</f>
        <v>2025</v>
      </c>
      <c r="K216" s="3" t="str">
        <f>"SMT-"&amp;CHOOSE(MONTH(InputData[[#This Row],[MONTH]]),1,1,1,1,1,1,2,2,2,2,2,2)</f>
        <v>SMT-1</v>
      </c>
      <c r="L216" s="20"/>
    </row>
    <row r="217" spans="1:12">
      <c r="A217" s="4">
        <v>45658</v>
      </c>
      <c r="B217" s="3" t="s">
        <v>12</v>
      </c>
      <c r="C217" s="11">
        <f>'[15]Realisasi Hilirisasi'!E13</f>
        <v>64</v>
      </c>
      <c r="D217" s="7">
        <f>'[15]Realisasi Hilirisasi'!F13</f>
        <v>979039135</v>
      </c>
      <c r="E217" s="5">
        <f>'[15]Realisasi Hilirisasi'!G13</f>
        <v>15861300</v>
      </c>
      <c r="F217" s="51">
        <f>IFERROR((InputData[[#This Row],[GROSS PROFIT]]/InputData[[#This Row],[REVENUE]])*100%,0)</f>
        <v>1.6200884554017341E-2</v>
      </c>
      <c r="G217" s="3" t="str">
        <f>VLOOKUP(InputData[[#This Row],[PRODUCT ID]],Master[],2,0)</f>
        <v>Electric Pole</v>
      </c>
      <c r="H217" s="3" t="str">
        <f>VLOOKUP(InputData[[#This Row],[PRODUCT ID]],Master[],3,0)</f>
        <v>KPI</v>
      </c>
      <c r="I217" s="3" t="str">
        <f>TEXT(InputData[[#This Row],[MONTH]],"MMMMMM")</f>
        <v>January</v>
      </c>
      <c r="J217" s="3">
        <f>YEAR(InputData[[#This Row],[MONTH]])</f>
        <v>2025</v>
      </c>
      <c r="K217" s="3" t="str">
        <f>"SMT-"&amp;CHOOSE(MONTH(InputData[[#This Row],[MONTH]]),1,1,1,1,1,1,2,2,2,2,2,2)</f>
        <v>SMT-1</v>
      </c>
      <c r="L217" s="20"/>
    </row>
    <row r="218" spans="1:12">
      <c r="A218" s="4">
        <v>45658</v>
      </c>
      <c r="B218" s="3" t="s">
        <v>14</v>
      </c>
      <c r="C218" s="11">
        <f>'[15]Realisasi Hilirisasi'!E14</f>
        <v>0</v>
      </c>
      <c r="D218" s="7">
        <f>'[15]Realisasi Hilirisasi'!F14</f>
        <v>0</v>
      </c>
      <c r="E218" s="5">
        <f>'[15]Realisasi Hilirisasi'!G14</f>
        <v>0</v>
      </c>
      <c r="F218" s="51">
        <f>IFERROR((InputData[[#This Row],[GROSS PROFIT]]/InputData[[#This Row],[REVENUE]])*100%,0)</f>
        <v>0</v>
      </c>
      <c r="G218" s="3" t="str">
        <f>VLOOKUP(InputData[[#This Row],[PRODUCT ID]],Master[],2,0)</f>
        <v>Fiber Optic Pole</v>
      </c>
      <c r="H218" s="3" t="str">
        <f>VLOOKUP(InputData[[#This Row],[PRODUCT ID]],Master[],3,0)</f>
        <v>KPI</v>
      </c>
      <c r="I218" s="3" t="str">
        <f>TEXT(InputData[[#This Row],[MONTH]],"MMMMMM")</f>
        <v>January</v>
      </c>
      <c r="J218" s="3">
        <f>YEAR(InputData[[#This Row],[MONTH]])</f>
        <v>2025</v>
      </c>
      <c r="K218" s="3" t="str">
        <f>"SMT-"&amp;CHOOSE(MONTH(InputData[[#This Row],[MONTH]]),1,1,1,1,1,1,2,2,2,2,2,2)</f>
        <v>SMT-1</v>
      </c>
      <c r="L218" s="20"/>
    </row>
    <row r="219" spans="1:12">
      <c r="A219" s="4">
        <v>45658</v>
      </c>
      <c r="B219" s="3" t="s">
        <v>17</v>
      </c>
      <c r="C219" s="11">
        <f>'[15]Realisasi Hilirisasi'!E15</f>
        <v>0</v>
      </c>
      <c r="D219" s="7">
        <f>'[15]Realisasi Hilirisasi'!F15</f>
        <v>0</v>
      </c>
      <c r="E219" s="5">
        <f>'[15]Realisasi Hilirisasi'!G15</f>
        <v>0</v>
      </c>
      <c r="F219" s="51">
        <f>IFERROR((InputData[[#This Row],[GROSS PROFIT]]/InputData[[#This Row],[REVENUE]])*100%,0)</f>
        <v>0</v>
      </c>
      <c r="G219" s="3" t="str">
        <f>VLOOKUP(InputData[[#This Row],[PRODUCT ID]],Master[],2,0)</f>
        <v>Bends Pipe</v>
      </c>
      <c r="H219" s="3" t="str">
        <f>VLOOKUP(InputData[[#This Row],[PRODUCT ID]],Master[],3,0)</f>
        <v>KPI</v>
      </c>
      <c r="I219" s="3" t="str">
        <f>TEXT(InputData[[#This Row],[MONTH]],"MMMMMM")</f>
        <v>January</v>
      </c>
      <c r="J219" s="3">
        <f>YEAR(InputData[[#This Row],[MONTH]])</f>
        <v>2025</v>
      </c>
      <c r="K219" s="3" t="str">
        <f>"SMT-"&amp;CHOOSE(MONTH(InputData[[#This Row],[MONTH]]),1,1,1,1,1,1,2,2,2,2,2,2)</f>
        <v>SMT-1</v>
      </c>
      <c r="L219" s="20"/>
    </row>
    <row r="220" spans="1:12">
      <c r="A220" s="4">
        <v>45658</v>
      </c>
      <c r="B220" s="3" t="s">
        <v>19</v>
      </c>
      <c r="C220" s="11">
        <f>'[15]Realisasi Hilirisasi'!E16</f>
        <v>271.52937878878834</v>
      </c>
      <c r="D220" s="7">
        <f>'[15]Realisasi Hilirisasi'!F16</f>
        <v>4539854682.4099998</v>
      </c>
      <c r="E220" s="5">
        <f>'[15]Realisasi Hilirisasi'!G16</f>
        <v>68097820.236149997</v>
      </c>
      <c r="F220" s="51">
        <f>IFERROR((InputData[[#This Row],[GROSS PROFIT]]/InputData[[#This Row],[REVENUE]])*100%,0)</f>
        <v>1.4999999999999999E-2</v>
      </c>
      <c r="G220" s="3" t="str">
        <f>VLOOKUP(InputData[[#This Row],[PRODUCT ID]],Master[],2,0)</f>
        <v>Baja Ringan</v>
      </c>
      <c r="H220" s="3" t="str">
        <f>VLOOKUP(InputData[[#This Row],[PRODUCT ID]],Master[],3,0)</f>
        <v>KNI</v>
      </c>
      <c r="I220" s="3" t="str">
        <f>TEXT(InputData[[#This Row],[MONTH]],"MMMMMM")</f>
        <v>January</v>
      </c>
      <c r="J220" s="3">
        <f>YEAR(InputData[[#This Row],[MONTH]])</f>
        <v>2025</v>
      </c>
      <c r="K220" s="3" t="str">
        <f>"SMT-"&amp;CHOOSE(MONTH(InputData[[#This Row],[MONTH]]),1,1,1,1,1,1,2,2,2,2,2,2)</f>
        <v>SMT-1</v>
      </c>
      <c r="L220" s="20"/>
    </row>
    <row r="221" spans="1:12">
      <c r="A221" s="4">
        <v>45658</v>
      </c>
      <c r="B221" s="3" t="s">
        <v>75</v>
      </c>
      <c r="C221" s="11">
        <f>'[15]Realisasi Hilirisasi'!E17</f>
        <v>0</v>
      </c>
      <c r="D221" s="7">
        <f>'[15]Realisasi Hilirisasi'!F17</f>
        <v>0</v>
      </c>
      <c r="E221" s="5">
        <f>'[15]Realisasi Hilirisasi'!G17</f>
        <v>0</v>
      </c>
      <c r="F221" s="51">
        <f>IFERROR((InputData[[#This Row],[GROSS PROFIT]]/InputData[[#This Row],[REVENUE]])*100%,0)</f>
        <v>0</v>
      </c>
      <c r="G221" s="3" t="str">
        <f>VLOOKUP(InputData[[#This Row],[PRODUCT ID]],Master[],2,0)</f>
        <v>Floordeck</v>
      </c>
      <c r="H221" s="3" t="str">
        <f>VLOOKUP(InputData[[#This Row],[PRODUCT ID]],Master[],3,0)</f>
        <v>KNI</v>
      </c>
      <c r="I221" s="3" t="str">
        <f>TEXT(InputData[[#This Row],[MONTH]],"MMMMMM")</f>
        <v>January</v>
      </c>
      <c r="J221" s="3">
        <f>YEAR(InputData[[#This Row],[MONTH]])</f>
        <v>2025</v>
      </c>
      <c r="K221" s="3" t="str">
        <f>"SMT-"&amp;CHOOSE(MONTH(InputData[[#This Row],[MONTH]]),1,1,1,1,1,1,2,2,2,2,2,2)</f>
        <v>SMT-1</v>
      </c>
      <c r="L221" s="20"/>
    </row>
    <row r="222" spans="1:12">
      <c r="A222" s="4">
        <v>45658</v>
      </c>
      <c r="B222" s="3" t="s">
        <v>18</v>
      </c>
      <c r="C222" s="11">
        <f>'[15]Realisasi Hilirisasi'!E18</f>
        <v>0</v>
      </c>
      <c r="D222" s="7">
        <f>'[15]Realisasi Hilirisasi'!F18</f>
        <v>0</v>
      </c>
      <c r="E222" s="5">
        <f>'[15]Realisasi Hilirisasi'!G18</f>
        <v>0</v>
      </c>
      <c r="F222" s="51">
        <f>IFERROR((InputData[[#This Row],[GROSS PROFIT]]/InputData[[#This Row],[REVENUE]])*100%,0)</f>
        <v>0</v>
      </c>
      <c r="G222" s="3" t="str">
        <f>VLOOKUP(InputData[[#This Row],[PRODUCT ID]],Master[],2,0)</f>
        <v>Galvanized &amp; Galvalume</v>
      </c>
      <c r="H222" s="3" t="str">
        <f>VLOOKUP(InputData[[#This Row],[PRODUCT ID]],Master[],3,0)</f>
        <v>KNI</v>
      </c>
      <c r="I222" s="3" t="str">
        <f>TEXT(InputData[[#This Row],[MONTH]],"MMMMMM")</f>
        <v>January</v>
      </c>
      <c r="J222" s="3">
        <f>YEAR(InputData[[#This Row],[MONTH]])</f>
        <v>2025</v>
      </c>
      <c r="K222" s="3" t="str">
        <f>"SMT-"&amp;CHOOSE(MONTH(InputData[[#This Row],[MONTH]]),1,1,1,1,1,1,2,2,2,2,2,2)</f>
        <v>SMT-1</v>
      </c>
      <c r="L222" s="20"/>
    </row>
    <row r="223" spans="1:12">
      <c r="A223" s="4">
        <v>45658</v>
      </c>
      <c r="B223" s="3" t="s">
        <v>20</v>
      </c>
      <c r="C223" s="11">
        <f>'[15]Realisasi Hilirisasi'!E19</f>
        <v>1.6759999999999999</v>
      </c>
      <c r="D223" s="7">
        <f>'[15]Realisasi Hilirisasi'!F19</f>
        <v>25936100</v>
      </c>
      <c r="E223" s="5">
        <f>'[15]Realisasi Hilirisasi'!G19</f>
        <v>5690020</v>
      </c>
      <c r="F223" s="51">
        <f>IFERROR((InputData[[#This Row],[GROSS PROFIT]]/InputData[[#This Row],[REVENUE]])*100%,0)</f>
        <v>0.21938610662358643</v>
      </c>
      <c r="G223" s="3" t="str">
        <f>VLOOKUP(InputData[[#This Row],[PRODUCT ID]],Master[],2,0)</f>
        <v>CNP</v>
      </c>
      <c r="H223" s="3" t="str">
        <f>VLOOKUP(InputData[[#This Row],[PRODUCT ID]],Master[],3,0)</f>
        <v>KNI</v>
      </c>
      <c r="I223" s="3" t="str">
        <f>TEXT(InputData[[#This Row],[MONTH]],"MMMMMM")</f>
        <v>January</v>
      </c>
      <c r="J223" s="3">
        <f>YEAR(InputData[[#This Row],[MONTH]])</f>
        <v>2025</v>
      </c>
      <c r="K223" s="3" t="str">
        <f>"SMT-"&amp;CHOOSE(MONTH(InputData[[#This Row],[MONTH]]),1,1,1,1,1,1,2,2,2,2,2,2)</f>
        <v>SMT-1</v>
      </c>
      <c r="L223" s="20"/>
    </row>
    <row r="224" spans="1:12">
      <c r="A224" s="4">
        <v>45658</v>
      </c>
      <c r="B224" s="3" t="s">
        <v>23</v>
      </c>
      <c r="C224" s="11">
        <f>'[15]Realisasi Hilirisasi'!E20</f>
        <v>71.335070000000002</v>
      </c>
      <c r="D224" s="7">
        <f>'[15]Realisasi Hilirisasi'!F20</f>
        <v>912630684.75</v>
      </c>
      <c r="E224" s="5">
        <f>'[15]Realisasi Hilirisasi'!G20</f>
        <v>44877780.506400011</v>
      </c>
      <c r="F224" s="51">
        <f>IFERROR((InputData[[#This Row],[GROSS PROFIT]]/InputData[[#This Row],[REVENUE]])*100%,0)</f>
        <v>4.9174086797983935E-2</v>
      </c>
      <c r="G224" s="3" t="str">
        <f>VLOOKUP(InputData[[#This Row],[PRODUCT ID]],Master[],2,0)</f>
        <v>Other Product</v>
      </c>
      <c r="H224" s="3" t="str">
        <f>VLOOKUP(InputData[[#This Row],[PRODUCT ID]],Master[],3,0)</f>
        <v>KNI</v>
      </c>
      <c r="I224" s="3" t="str">
        <f>TEXT(InputData[[#This Row],[MONTH]],"MMMMMM")</f>
        <v>January</v>
      </c>
      <c r="J224" s="3">
        <f>YEAR(InputData[[#This Row],[MONTH]])</f>
        <v>2025</v>
      </c>
      <c r="K224" s="3" t="str">
        <f>"SMT-"&amp;CHOOSE(MONTH(InputData[[#This Row],[MONTH]]),1,1,1,1,1,1,2,2,2,2,2,2)</f>
        <v>SMT-1</v>
      </c>
      <c r="L224" s="20"/>
    </row>
    <row r="225" spans="1:12">
      <c r="A225" s="4">
        <v>45658</v>
      </c>
      <c r="B225" s="3" t="s">
        <v>21</v>
      </c>
      <c r="C225" s="11">
        <f>'[15]Realisasi Hilirisasi'!E21</f>
        <v>0</v>
      </c>
      <c r="D225" s="7">
        <f>'[15]Realisasi Hilirisasi'!F21</f>
        <v>0</v>
      </c>
      <c r="E225" s="5">
        <f>'[15]Realisasi Hilirisasi'!G21</f>
        <v>0</v>
      </c>
      <c r="F225" s="51">
        <f>IFERROR((InputData[[#This Row],[GROSS PROFIT]]/InputData[[#This Row],[REVENUE]])*100%,0)</f>
        <v>0</v>
      </c>
      <c r="G225" s="3" t="str">
        <f>VLOOKUP(InputData[[#This Row],[PRODUCT ID]],Master[],2,0)</f>
        <v>Welded Beam</v>
      </c>
      <c r="H225" s="3" t="str">
        <f>VLOOKUP(InputData[[#This Row],[PRODUCT ID]],Master[],3,0)</f>
        <v>KPdP</v>
      </c>
      <c r="I225" s="3" t="str">
        <f>TEXT(InputData[[#This Row],[MONTH]],"MMMMMM")</f>
        <v>January</v>
      </c>
      <c r="J225" s="3">
        <f>YEAR(InputData[[#This Row],[MONTH]])</f>
        <v>2025</v>
      </c>
      <c r="K225" s="3" t="str">
        <f>"SMT-"&amp;CHOOSE(MONTH(InputData[[#This Row],[MONTH]]),1,1,1,1,1,1,2,2,2,2,2,2)</f>
        <v>SMT-1</v>
      </c>
      <c r="L225" s="20"/>
    </row>
    <row r="226" spans="1:12">
      <c r="A226" s="4">
        <v>45689</v>
      </c>
      <c r="B226" s="3" t="s">
        <v>4</v>
      </c>
      <c r="C226" s="11">
        <f>'[15]Realisasi Hilirisasi'!E22</f>
        <v>0</v>
      </c>
      <c r="D226" s="7">
        <f>'[15]Realisasi Hilirisasi'!F22</f>
        <v>0</v>
      </c>
      <c r="E226" s="5">
        <f>'[15]Realisasi Hilirisasi'!G22</f>
        <v>0</v>
      </c>
      <c r="F226" s="51">
        <f>IFERROR((InputData[[#This Row],[GROSS PROFIT]]/InputData[[#This Row],[REVENUE]])*100%,0)</f>
        <v>0</v>
      </c>
      <c r="G226" s="3" t="str">
        <f>VLOOKUP(InputData[[#This Row],[PRODUCT ID]],Master[],2,0)</f>
        <v>Tower</v>
      </c>
      <c r="H226" s="3" t="str">
        <f>VLOOKUP(InputData[[#This Row],[PRODUCT ID]],Master[],3,0)</f>
        <v>KBK</v>
      </c>
      <c r="I226" s="3" t="str">
        <f>TEXT(InputData[[#This Row],[MONTH]],"MMMMMM")</f>
        <v>February</v>
      </c>
      <c r="J226" s="3">
        <f>YEAR(InputData[[#This Row],[MONTH]])</f>
        <v>2025</v>
      </c>
      <c r="K226" s="3" t="str">
        <f>"SMT-"&amp;CHOOSE(MONTH(InputData[[#This Row],[MONTH]]),1,1,1,1,1,1,2,2,2,2,2,2)</f>
        <v>SMT-1</v>
      </c>
      <c r="L226" s="20"/>
    </row>
    <row r="227" spans="1:12">
      <c r="A227" s="4">
        <v>45689</v>
      </c>
      <c r="B227" s="3" t="s">
        <v>9</v>
      </c>
      <c r="C227" s="11">
        <f>'[15]Realisasi Hilirisasi'!E23</f>
        <v>605.49787671710533</v>
      </c>
      <c r="D227" s="7">
        <f>'[15]Realisasi Hilirisasi'!F23</f>
        <v>12675111281</v>
      </c>
      <c r="E227" s="5">
        <f>'[15]Realisasi Hilirisasi'!G23</f>
        <v>605497876.71710527</v>
      </c>
      <c r="F227" s="51">
        <f>IFERROR((InputData[[#This Row],[GROSS PROFIT]]/InputData[[#This Row],[REVENUE]])*100%,0)</f>
        <v>4.7770616233148738E-2</v>
      </c>
      <c r="G227" s="3" t="str">
        <f>VLOOKUP(InputData[[#This Row],[PRODUCT ID]],Master[],2,0)</f>
        <v>Steel Structure</v>
      </c>
      <c r="H227" s="3" t="str">
        <f>VLOOKUP(InputData[[#This Row],[PRODUCT ID]],Master[],3,0)</f>
        <v>KBK</v>
      </c>
      <c r="I227" s="3" t="str">
        <f>TEXT(InputData[[#This Row],[MONTH]],"MMMMMM")</f>
        <v>February</v>
      </c>
      <c r="J227" s="3">
        <f>YEAR(InputData[[#This Row],[MONTH]])</f>
        <v>2025</v>
      </c>
      <c r="K227" s="3" t="str">
        <f>"SMT-"&amp;CHOOSE(MONTH(InputData[[#This Row],[MONTH]]),1,1,1,1,1,1,2,2,2,2,2,2)</f>
        <v>SMT-1</v>
      </c>
      <c r="L227" s="20"/>
    </row>
    <row r="228" spans="1:12">
      <c r="A228" s="4">
        <v>45689</v>
      </c>
      <c r="B228" s="3" t="s">
        <v>22</v>
      </c>
      <c r="C228" s="11">
        <f>'[15]Realisasi Hilirisasi'!E24</f>
        <v>12.4</v>
      </c>
      <c r="D228" s="7">
        <f>'[15]Realisasi Hilirisasi'!F24</f>
        <v>395000000</v>
      </c>
      <c r="E228" s="5">
        <f>'[15]Realisasi Hilirisasi'!G24</f>
        <v>12400000</v>
      </c>
      <c r="F228" s="51">
        <f>IFERROR((InputData[[#This Row],[GROSS PROFIT]]/InputData[[#This Row],[REVENUE]])*100%,0)</f>
        <v>3.1392405063291141E-2</v>
      </c>
      <c r="G228" s="3" t="str">
        <f>VLOOKUP(InputData[[#This Row],[PRODUCT ID]],Master[],2,0)</f>
        <v>Modular</v>
      </c>
      <c r="H228" s="3" t="str">
        <f>VLOOKUP(InputData[[#This Row],[PRODUCT ID]],Master[],3,0)</f>
        <v>KBK</v>
      </c>
      <c r="I228" s="3" t="str">
        <f>TEXT(InputData[[#This Row],[MONTH]],"MMMMMM")</f>
        <v>February</v>
      </c>
      <c r="J228" s="3">
        <f>YEAR(InputData[[#This Row],[MONTH]])</f>
        <v>2025</v>
      </c>
      <c r="K228" s="3" t="str">
        <f>"SMT-"&amp;CHOOSE(MONTH(InputData[[#This Row],[MONTH]]),1,1,1,1,1,1,2,2,2,2,2,2)</f>
        <v>SMT-1</v>
      </c>
      <c r="L228" s="20"/>
    </row>
    <row r="229" spans="1:12">
      <c r="A229" s="4">
        <v>45689</v>
      </c>
      <c r="B229" s="3" t="s">
        <v>11</v>
      </c>
      <c r="C229" s="11">
        <f>'[15]Realisasi Hilirisasi'!E25</f>
        <v>164.10285789473687</v>
      </c>
      <c r="D229" s="7">
        <f>'[15]Realisasi Hilirisasi'!F25</f>
        <v>2438531118.8000002</v>
      </c>
      <c r="E229" s="5">
        <f>'[15]Realisasi Hilirisasi'!G25</f>
        <v>356298157.89473683</v>
      </c>
      <c r="F229" s="51">
        <f>IFERROR((InputData[[#This Row],[GROSS PROFIT]]/InputData[[#This Row],[REVENUE]])*100%,0)</f>
        <v>0.14611179457495335</v>
      </c>
      <c r="G229" s="3" t="str">
        <f>VLOOKUP(InputData[[#This Row],[PRODUCT ID]],Master[],2,0)</f>
        <v>Steel Creative &amp; Component</v>
      </c>
      <c r="H229" s="3" t="str">
        <f>VLOOKUP(InputData[[#This Row],[PRODUCT ID]],Master[],3,0)</f>
        <v>KBK</v>
      </c>
      <c r="I229" s="3" t="str">
        <f>TEXT(InputData[[#This Row],[MONTH]],"MMMMMM")</f>
        <v>February</v>
      </c>
      <c r="J229" s="3">
        <f>YEAR(InputData[[#This Row],[MONTH]])</f>
        <v>2025</v>
      </c>
      <c r="K229" s="3" t="str">
        <f>"SMT-"&amp;CHOOSE(MONTH(InputData[[#This Row],[MONTH]]),1,1,1,1,1,1,2,2,2,2,2,2)</f>
        <v>SMT-1</v>
      </c>
      <c r="L229" s="20"/>
    </row>
    <row r="230" spans="1:12">
      <c r="A230" s="4">
        <v>45689</v>
      </c>
      <c r="B230" s="3" t="s">
        <v>24</v>
      </c>
      <c r="C230" s="11">
        <f>'[15]Realisasi Hilirisasi'!E26</f>
        <v>0</v>
      </c>
      <c r="D230" s="7">
        <f>'[15]Realisasi Hilirisasi'!F26</f>
        <v>0</v>
      </c>
      <c r="E230" s="5">
        <f>'[15]Realisasi Hilirisasi'!G26</f>
        <v>0</v>
      </c>
      <c r="F230" s="51">
        <f>IFERROR((InputData[[#This Row],[GROSS PROFIT]]/InputData[[#This Row],[REVENUE]])*100%,0)</f>
        <v>0</v>
      </c>
      <c r="G230" s="3" t="str">
        <f>VLOOKUP(InputData[[#This Row],[PRODUCT ID]],Master[],2,0)</f>
        <v>Cut to Lenght</v>
      </c>
      <c r="H230" s="3" t="str">
        <f>VLOOKUP(InputData[[#This Row],[PRODUCT ID]],Master[],3,0)</f>
        <v>KBK</v>
      </c>
      <c r="I230" s="3" t="str">
        <f>TEXT(InputData[[#This Row],[MONTH]],"MMMMMM")</f>
        <v>February</v>
      </c>
      <c r="J230" s="3">
        <f>YEAR(InputData[[#This Row],[MONTH]])</f>
        <v>2025</v>
      </c>
      <c r="K230" s="3" t="str">
        <f>"SMT-"&amp;CHOOSE(MONTH(InputData[[#This Row],[MONTH]]),1,1,1,1,1,1,2,2,2,2,2,2)</f>
        <v>SMT-1</v>
      </c>
      <c r="L230" s="20"/>
    </row>
    <row r="231" spans="1:12">
      <c r="A231" s="4">
        <v>45689</v>
      </c>
      <c r="B231" s="3" t="s">
        <v>12</v>
      </c>
      <c r="C231" s="11">
        <f>'[15]Realisasi Hilirisasi'!E27</f>
        <v>194</v>
      </c>
      <c r="D231" s="7">
        <f>'[15]Realisasi Hilirisasi'!F27</f>
        <v>3350711687</v>
      </c>
      <c r="E231" s="5">
        <f>'[15]Realisasi Hilirisasi'!G27</f>
        <v>48398130</v>
      </c>
      <c r="F231" s="51">
        <f>IFERROR((InputData[[#This Row],[GROSS PROFIT]]/InputData[[#This Row],[REVENUE]])*100%,0)</f>
        <v>1.4444134417107192E-2</v>
      </c>
      <c r="G231" s="3" t="str">
        <f>VLOOKUP(InputData[[#This Row],[PRODUCT ID]],Master[],2,0)</f>
        <v>Electric Pole</v>
      </c>
      <c r="H231" s="3" t="str">
        <f>VLOOKUP(InputData[[#This Row],[PRODUCT ID]],Master[],3,0)</f>
        <v>KPI</v>
      </c>
      <c r="I231" s="3" t="str">
        <f>TEXT(InputData[[#This Row],[MONTH]],"MMMMMM")</f>
        <v>February</v>
      </c>
      <c r="J231" s="3">
        <f>YEAR(InputData[[#This Row],[MONTH]])</f>
        <v>2025</v>
      </c>
      <c r="K231" s="3" t="str">
        <f>"SMT-"&amp;CHOOSE(MONTH(InputData[[#This Row],[MONTH]]),1,1,1,1,1,1,2,2,2,2,2,2)</f>
        <v>SMT-1</v>
      </c>
      <c r="L231" s="20"/>
    </row>
    <row r="232" spans="1:12">
      <c r="A232" s="4">
        <v>45689</v>
      </c>
      <c r="B232" s="3" t="s">
        <v>14</v>
      </c>
      <c r="C232" s="11">
        <f>'[15]Realisasi Hilirisasi'!E28</f>
        <v>0</v>
      </c>
      <c r="D232" s="7">
        <f>'[15]Realisasi Hilirisasi'!F28</f>
        <v>0</v>
      </c>
      <c r="E232" s="5">
        <f>'[15]Realisasi Hilirisasi'!G28</f>
        <v>0</v>
      </c>
      <c r="F232" s="51">
        <f>IFERROR((InputData[[#This Row],[GROSS PROFIT]]/InputData[[#This Row],[REVENUE]])*100%,0)</f>
        <v>0</v>
      </c>
      <c r="G232" s="3" t="str">
        <f>VLOOKUP(InputData[[#This Row],[PRODUCT ID]],Master[],2,0)</f>
        <v>Fiber Optic Pole</v>
      </c>
      <c r="H232" s="3" t="str">
        <f>VLOOKUP(InputData[[#This Row],[PRODUCT ID]],Master[],3,0)</f>
        <v>KPI</v>
      </c>
      <c r="I232" s="3" t="str">
        <f>TEXT(InputData[[#This Row],[MONTH]],"MMMMMM")</f>
        <v>February</v>
      </c>
      <c r="J232" s="3">
        <f>YEAR(InputData[[#This Row],[MONTH]])</f>
        <v>2025</v>
      </c>
      <c r="K232" s="3" t="str">
        <f>"SMT-"&amp;CHOOSE(MONTH(InputData[[#This Row],[MONTH]]),1,1,1,1,1,1,2,2,2,2,2,2)</f>
        <v>SMT-1</v>
      </c>
      <c r="L232" s="20"/>
    </row>
    <row r="233" spans="1:12">
      <c r="A233" s="4">
        <v>45689</v>
      </c>
      <c r="B233" s="3" t="s">
        <v>17</v>
      </c>
      <c r="C233" s="11">
        <f>'[15]Realisasi Hilirisasi'!E29</f>
        <v>101</v>
      </c>
      <c r="D233" s="7">
        <f>'[15]Realisasi Hilirisasi'!F29</f>
        <v>7914861631</v>
      </c>
      <c r="E233" s="5">
        <f>'[15]Realisasi Hilirisasi'!G29</f>
        <v>2642350040</v>
      </c>
      <c r="F233" s="51">
        <f>IFERROR((InputData[[#This Row],[GROSS PROFIT]]/InputData[[#This Row],[REVENUE]])*100%,0)</f>
        <v>0.33384664990866725</v>
      </c>
      <c r="G233" s="3" t="str">
        <f>VLOOKUP(InputData[[#This Row],[PRODUCT ID]],Master[],2,0)</f>
        <v>Bends Pipe</v>
      </c>
      <c r="H233" s="3" t="str">
        <f>VLOOKUP(InputData[[#This Row],[PRODUCT ID]],Master[],3,0)</f>
        <v>KPI</v>
      </c>
      <c r="I233" s="3" t="str">
        <f>TEXT(InputData[[#This Row],[MONTH]],"MMMMMM")</f>
        <v>February</v>
      </c>
      <c r="J233" s="3">
        <f>YEAR(InputData[[#This Row],[MONTH]])</f>
        <v>2025</v>
      </c>
      <c r="K233" s="3" t="str">
        <f>"SMT-"&amp;CHOOSE(MONTH(InputData[[#This Row],[MONTH]]),1,1,1,1,1,1,2,2,2,2,2,2)</f>
        <v>SMT-1</v>
      </c>
      <c r="L233" s="20"/>
    </row>
    <row r="234" spans="1:12">
      <c r="A234" s="4">
        <v>45689</v>
      </c>
      <c r="B234" s="3" t="s">
        <v>16</v>
      </c>
      <c r="C234" s="11">
        <f>'[15]Realisasi Hilirisasi'!E30</f>
        <v>998</v>
      </c>
      <c r="D234" s="7">
        <f>'[15]Realisasi Hilirisasi'!F30</f>
        <v>14078574228</v>
      </c>
      <c r="E234" s="5">
        <f>'[15]Realisasi Hilirisasi'!G30</f>
        <v>2994405000</v>
      </c>
      <c r="F234" s="51">
        <f>IFERROR((InputData[[#This Row],[GROSS PROFIT]]/InputData[[#This Row],[REVENUE]])*100%,0)</f>
        <v>0.21269234735749123</v>
      </c>
      <c r="G234" s="3" t="str">
        <f>VLOOKUP(InputData[[#This Row],[PRODUCT ID]],Master[],2,0)</f>
        <v>Seamless Pipe</v>
      </c>
      <c r="H234" s="3" t="str">
        <f>VLOOKUP(InputData[[#This Row],[PRODUCT ID]],Master[],3,0)</f>
        <v>KPI</v>
      </c>
      <c r="I234" s="3" t="str">
        <f>TEXT(InputData[[#This Row],[MONTH]],"MMMMMM")</f>
        <v>February</v>
      </c>
      <c r="J234" s="3">
        <f>YEAR(InputData[[#This Row],[MONTH]])</f>
        <v>2025</v>
      </c>
      <c r="K234" s="3" t="str">
        <f>"SMT-"&amp;CHOOSE(MONTH(InputData[[#This Row],[MONTH]]),1,1,1,1,1,1,2,2,2,2,2,2)</f>
        <v>SMT-1</v>
      </c>
      <c r="L234" s="20"/>
    </row>
    <row r="235" spans="1:12">
      <c r="A235" s="4">
        <v>45689</v>
      </c>
      <c r="B235" s="3" t="s">
        <v>19</v>
      </c>
      <c r="C235" s="11">
        <f>'[15]Realisasi Hilirisasi'!E31</f>
        <v>216.95636244011487</v>
      </c>
      <c r="D235" s="7">
        <f>'[15]Realisasi Hilirisasi'!F31</f>
        <v>3717059850.6862583</v>
      </c>
      <c r="E235" s="5">
        <f>'[15]Realisasi Hilirisasi'!G31</f>
        <v>54931918.975658618</v>
      </c>
      <c r="F235" s="51">
        <f>IFERROR((InputData[[#This Row],[GROSS PROFIT]]/InputData[[#This Row],[REVENUE]])*100%,0)</f>
        <v>1.477832512315261E-2</v>
      </c>
      <c r="G235" s="3" t="str">
        <f>VLOOKUP(InputData[[#This Row],[PRODUCT ID]],Master[],2,0)</f>
        <v>Baja Ringan</v>
      </c>
      <c r="H235" s="3" t="str">
        <f>VLOOKUP(InputData[[#This Row],[PRODUCT ID]],Master[],3,0)</f>
        <v>KNI</v>
      </c>
      <c r="I235" s="3" t="str">
        <f>TEXT(InputData[[#This Row],[MONTH]],"MMMMMM")</f>
        <v>February</v>
      </c>
      <c r="J235" s="3">
        <f>YEAR(InputData[[#This Row],[MONTH]])</f>
        <v>2025</v>
      </c>
      <c r="K235" s="3" t="str">
        <f>"SMT-"&amp;CHOOSE(MONTH(InputData[[#This Row],[MONTH]]),1,1,1,1,1,1,2,2,2,2,2,2)</f>
        <v>SMT-1</v>
      </c>
      <c r="L235" s="20"/>
    </row>
    <row r="236" spans="1:12">
      <c r="A236" s="4">
        <v>45689</v>
      </c>
      <c r="B236" s="3" t="s">
        <v>75</v>
      </c>
      <c r="C236" s="11">
        <f>'[15]Realisasi Hilirisasi'!E32</f>
        <v>0</v>
      </c>
      <c r="D236" s="7">
        <f>'[15]Realisasi Hilirisasi'!F32</f>
        <v>0</v>
      </c>
      <c r="E236" s="5">
        <f>'[15]Realisasi Hilirisasi'!G32</f>
        <v>0</v>
      </c>
      <c r="F236" s="51">
        <f>IFERROR((InputData[[#This Row],[GROSS PROFIT]]/InputData[[#This Row],[REVENUE]])*100%,0)</f>
        <v>0</v>
      </c>
      <c r="G236" s="3" t="str">
        <f>VLOOKUP(InputData[[#This Row],[PRODUCT ID]],Master[],2,0)</f>
        <v>Floordeck</v>
      </c>
      <c r="H236" s="3" t="str">
        <f>VLOOKUP(InputData[[#This Row],[PRODUCT ID]],Master[],3,0)</f>
        <v>KNI</v>
      </c>
      <c r="I236" s="3" t="str">
        <f>TEXT(InputData[[#This Row],[MONTH]],"MMMMMM")</f>
        <v>February</v>
      </c>
      <c r="J236" s="3">
        <f>YEAR(InputData[[#This Row],[MONTH]])</f>
        <v>2025</v>
      </c>
      <c r="K236" s="3" t="str">
        <f>"SMT-"&amp;CHOOSE(MONTH(InputData[[#This Row],[MONTH]]),1,1,1,1,1,1,2,2,2,2,2,2)</f>
        <v>SMT-1</v>
      </c>
      <c r="L236" s="20"/>
    </row>
    <row r="237" spans="1:12">
      <c r="A237" s="4">
        <v>45689</v>
      </c>
      <c r="B237" s="3" t="s">
        <v>18</v>
      </c>
      <c r="C237" s="11">
        <f>'[15]Realisasi Hilirisasi'!E33</f>
        <v>0</v>
      </c>
      <c r="D237" s="7">
        <f>'[15]Realisasi Hilirisasi'!F33</f>
        <v>0</v>
      </c>
      <c r="E237" s="5">
        <f>'[15]Realisasi Hilirisasi'!G33</f>
        <v>0</v>
      </c>
      <c r="F237" s="51">
        <f>IFERROR((InputData[[#This Row],[GROSS PROFIT]]/InputData[[#This Row],[REVENUE]])*100%,0)</f>
        <v>0</v>
      </c>
      <c r="G237" s="3" t="str">
        <f>VLOOKUP(InputData[[#This Row],[PRODUCT ID]],Master[],2,0)</f>
        <v>Galvanized &amp; Galvalume</v>
      </c>
      <c r="H237" s="3" t="str">
        <f>VLOOKUP(InputData[[#This Row],[PRODUCT ID]],Master[],3,0)</f>
        <v>KNI</v>
      </c>
      <c r="I237" s="3" t="str">
        <f>TEXT(InputData[[#This Row],[MONTH]],"MMMMMM")</f>
        <v>February</v>
      </c>
      <c r="J237" s="3">
        <f>YEAR(InputData[[#This Row],[MONTH]])</f>
        <v>2025</v>
      </c>
      <c r="K237" s="3" t="str">
        <f>"SMT-"&amp;CHOOSE(MONTH(InputData[[#This Row],[MONTH]]),1,1,1,1,1,1,2,2,2,2,2,2)</f>
        <v>SMT-1</v>
      </c>
      <c r="L237" s="20"/>
    </row>
    <row r="238" spans="1:12">
      <c r="A238" s="4">
        <v>45689</v>
      </c>
      <c r="B238" s="3" t="s">
        <v>20</v>
      </c>
      <c r="C238" s="11">
        <f>'[15]Realisasi Hilirisasi'!E34</f>
        <v>3.0649999999999999</v>
      </c>
      <c r="D238" s="7">
        <f>'[15]Realisasi Hilirisasi'!F34</f>
        <v>38651610</v>
      </c>
      <c r="E238" s="5">
        <f>'[15]Realisasi Hilirisasi'!G34</f>
        <v>3514189</v>
      </c>
      <c r="F238" s="51">
        <f>IFERROR((InputData[[#This Row],[GROSS PROFIT]]/InputData[[#This Row],[REVENUE]])*100%,0)</f>
        <v>9.0919602055386572E-2</v>
      </c>
      <c r="G238" s="3" t="str">
        <f>VLOOKUP(InputData[[#This Row],[PRODUCT ID]],Master[],2,0)</f>
        <v>CNP</v>
      </c>
      <c r="H238" s="3" t="str">
        <f>VLOOKUP(InputData[[#This Row],[PRODUCT ID]],Master[],3,0)</f>
        <v>KNI</v>
      </c>
      <c r="I238" s="3" t="str">
        <f>TEXT(InputData[[#This Row],[MONTH]],"MMMMMM")</f>
        <v>February</v>
      </c>
      <c r="J238" s="3">
        <f>YEAR(InputData[[#This Row],[MONTH]])</f>
        <v>2025</v>
      </c>
      <c r="K238" s="3" t="str">
        <f>"SMT-"&amp;CHOOSE(MONTH(InputData[[#This Row],[MONTH]]),1,1,1,1,1,1,2,2,2,2,2,2)</f>
        <v>SMT-1</v>
      </c>
      <c r="L238" s="20"/>
    </row>
    <row r="239" spans="1:12">
      <c r="A239" s="4">
        <v>45689</v>
      </c>
      <c r="B239" s="3" t="s">
        <v>23</v>
      </c>
      <c r="C239" s="11">
        <f>'[15]Realisasi Hilirisasi'!E35</f>
        <v>128.02979999999999</v>
      </c>
      <c r="D239" s="7">
        <f>'[15]Realisasi Hilirisasi'!F35</f>
        <v>1888065028</v>
      </c>
      <c r="E239" s="5">
        <f>'[15]Realisasi Hilirisasi'!G35</f>
        <v>195964576</v>
      </c>
      <c r="F239" s="51">
        <f>IFERROR((InputData[[#This Row],[GROSS PROFIT]]/InputData[[#This Row],[REVENUE]])*100%,0)</f>
        <v>0.10379122175022883</v>
      </c>
      <c r="G239" s="3" t="str">
        <f>VLOOKUP(InputData[[#This Row],[PRODUCT ID]],Master[],2,0)</f>
        <v>Other Product</v>
      </c>
      <c r="H239" s="3" t="str">
        <f>VLOOKUP(InputData[[#This Row],[PRODUCT ID]],Master[],3,0)</f>
        <v>KNI</v>
      </c>
      <c r="I239" s="3" t="str">
        <f>TEXT(InputData[[#This Row],[MONTH]],"MMMMMM")</f>
        <v>February</v>
      </c>
      <c r="J239" s="3">
        <f>YEAR(InputData[[#This Row],[MONTH]])</f>
        <v>2025</v>
      </c>
      <c r="K239" s="3" t="str">
        <f>"SMT-"&amp;CHOOSE(MONTH(InputData[[#This Row],[MONTH]]),1,1,1,1,1,1,2,2,2,2,2,2)</f>
        <v>SMT-1</v>
      </c>
      <c r="L239" s="20"/>
    </row>
    <row r="240" spans="1:12">
      <c r="A240" s="4">
        <v>45689</v>
      </c>
      <c r="B240" s="3" t="s">
        <v>21</v>
      </c>
      <c r="C240" s="11">
        <f>'[15]Realisasi Hilirisasi'!E36</f>
        <v>0</v>
      </c>
      <c r="D240" s="7">
        <f>'[15]Realisasi Hilirisasi'!F36</f>
        <v>0</v>
      </c>
      <c r="E240" s="5">
        <f>'[15]Realisasi Hilirisasi'!G36</f>
        <v>0</v>
      </c>
      <c r="F240" s="51">
        <f>IFERROR((InputData[[#This Row],[GROSS PROFIT]]/InputData[[#This Row],[REVENUE]])*100%,0)</f>
        <v>0</v>
      </c>
      <c r="G240" s="3" t="str">
        <f>VLOOKUP(InputData[[#This Row],[PRODUCT ID]],Master[],2,0)</f>
        <v>Welded Beam</v>
      </c>
      <c r="H240" s="3" t="str">
        <f>VLOOKUP(InputData[[#This Row],[PRODUCT ID]],Master[],3,0)</f>
        <v>KPdP</v>
      </c>
      <c r="I240" s="3" t="str">
        <f>TEXT(InputData[[#This Row],[MONTH]],"MMMMMM")</f>
        <v>February</v>
      </c>
      <c r="J240" s="3">
        <f>YEAR(InputData[[#This Row],[MONTH]])</f>
        <v>2025</v>
      </c>
      <c r="K240" s="3" t="str">
        <f>"SMT-"&amp;CHOOSE(MONTH(InputData[[#This Row],[MONTH]]),1,1,1,1,1,1,2,2,2,2,2,2)</f>
        <v>SMT-1</v>
      </c>
      <c r="L240" s="20"/>
    </row>
    <row r="241" spans="1:12">
      <c r="A241" s="4">
        <v>45717</v>
      </c>
      <c r="B241" s="3" t="s">
        <v>4</v>
      </c>
      <c r="C241" s="11">
        <f>'[15]Realisasi Hilirisasi'!E37</f>
        <v>27.303619999999995</v>
      </c>
      <c r="D241" s="7">
        <f>'[15]Realisasi Hilirisasi'!F37</f>
        <v>646391564</v>
      </c>
      <c r="E241" s="5">
        <f>'[15]Realisasi Hilirisasi'!G37</f>
        <v>54607240</v>
      </c>
      <c r="F241" s="51">
        <f>IFERROR((InputData[[#This Row],[GROSS PROFIT]]/InputData[[#This Row],[REVENUE]])*100%,0)</f>
        <v>8.4480124805589196E-2</v>
      </c>
      <c r="G241" s="3" t="str">
        <f>VLOOKUP(InputData[[#This Row],[PRODUCT ID]],Master[],2,0)</f>
        <v>Tower</v>
      </c>
      <c r="H241" s="3" t="str">
        <f>VLOOKUP(InputData[[#This Row],[PRODUCT ID]],Master[],3,0)</f>
        <v>KBK</v>
      </c>
      <c r="I241" s="3" t="str">
        <f>TEXT(InputData[[#This Row],[MONTH]],"MMMMMM")</f>
        <v>March</v>
      </c>
      <c r="J241" s="3">
        <f>YEAR(InputData[[#This Row],[MONTH]])</f>
        <v>2025</v>
      </c>
      <c r="K241" s="3" t="str">
        <f>"SMT-"&amp;CHOOSE(MONTH(InputData[[#This Row],[MONTH]]),1,1,1,1,1,1,2,2,2,2,2,2)</f>
        <v>SMT-1</v>
      </c>
      <c r="L241" s="20"/>
    </row>
    <row r="242" spans="1:12">
      <c r="A242" s="4">
        <v>45717</v>
      </c>
      <c r="B242" s="3" t="s">
        <v>9</v>
      </c>
      <c r="C242" s="11">
        <f>'[15]Realisasi Hilirisasi'!E38</f>
        <v>150.33570078124998</v>
      </c>
      <c r="D242" s="7">
        <f>'[15]Realisasi Hilirisasi'!F38</f>
        <v>2588842425</v>
      </c>
      <c r="E242" s="5">
        <f>'[15]Realisasi Hilirisasi'!G38</f>
        <v>164116042.5</v>
      </c>
      <c r="F242" s="51">
        <f>IFERROR((InputData[[#This Row],[GROSS PROFIT]]/InputData[[#This Row],[REVENUE]])*100%,0)</f>
        <v>6.3393600520124355E-2</v>
      </c>
      <c r="G242" s="3" t="str">
        <f>VLOOKUP(InputData[[#This Row],[PRODUCT ID]],Master[],2,0)</f>
        <v>Steel Structure</v>
      </c>
      <c r="H242" s="3" t="str">
        <f>VLOOKUP(InputData[[#This Row],[PRODUCT ID]],Master[],3,0)</f>
        <v>KBK</v>
      </c>
      <c r="I242" s="3" t="str">
        <f>TEXT(InputData[[#This Row],[MONTH]],"MMMMMM")</f>
        <v>March</v>
      </c>
      <c r="J242" s="3">
        <f>YEAR(InputData[[#This Row],[MONTH]])</f>
        <v>2025</v>
      </c>
      <c r="K242" s="3" t="str">
        <f>"SMT-"&amp;CHOOSE(MONTH(InputData[[#This Row],[MONTH]]),1,1,1,1,1,1,2,2,2,2,2,2)</f>
        <v>SMT-1</v>
      </c>
      <c r="L242" s="20"/>
    </row>
    <row r="243" spans="1:12">
      <c r="A243" s="4">
        <v>45717</v>
      </c>
      <c r="B243" s="3" t="s">
        <v>22</v>
      </c>
      <c r="C243" s="11">
        <f>'[15]Realisasi Hilirisasi'!E39</f>
        <v>0</v>
      </c>
      <c r="D243" s="7">
        <f>'[15]Realisasi Hilirisasi'!F39</f>
        <v>0</v>
      </c>
      <c r="E243" s="5">
        <f>'[15]Realisasi Hilirisasi'!G39</f>
        <v>0</v>
      </c>
      <c r="F243" s="51">
        <f>IFERROR((InputData[[#This Row],[GROSS PROFIT]]/InputData[[#This Row],[REVENUE]])*100%,0)</f>
        <v>0</v>
      </c>
      <c r="G243" s="3" t="str">
        <f>VLOOKUP(InputData[[#This Row],[PRODUCT ID]],Master[],2,0)</f>
        <v>Modular</v>
      </c>
      <c r="H243" s="3" t="str">
        <f>VLOOKUP(InputData[[#This Row],[PRODUCT ID]],Master[],3,0)</f>
        <v>KBK</v>
      </c>
      <c r="I243" s="3" t="str">
        <f>TEXT(InputData[[#This Row],[MONTH]],"MMMMMM")</f>
        <v>March</v>
      </c>
      <c r="J243" s="3">
        <f>YEAR(InputData[[#This Row],[MONTH]])</f>
        <v>2025</v>
      </c>
      <c r="K243" s="3" t="str">
        <f>"SMT-"&amp;CHOOSE(MONTH(InputData[[#This Row],[MONTH]]),1,1,1,1,1,1,2,2,2,2,2,2)</f>
        <v>SMT-1</v>
      </c>
      <c r="L243" s="20"/>
    </row>
    <row r="244" spans="1:12">
      <c r="A244" s="4">
        <v>45717</v>
      </c>
      <c r="B244" s="3" t="s">
        <v>11</v>
      </c>
      <c r="C244" s="11">
        <f>'[15]Realisasi Hilirisasi'!E40</f>
        <v>503.70380526315796</v>
      </c>
      <c r="D244" s="7">
        <f>'[15]Realisasi Hilirisasi'!F40</f>
        <v>3577819941.8000002</v>
      </c>
      <c r="E244" s="5">
        <f>'[15]Realisasi Hilirisasi'!G40</f>
        <v>449621928.29000002</v>
      </c>
      <c r="F244" s="51">
        <f>IFERROR((InputData[[#This Row],[GROSS PROFIT]]/InputData[[#This Row],[REVENUE]])*100%,0)</f>
        <v>0.12566924428952547</v>
      </c>
      <c r="G244" s="3" t="str">
        <f>VLOOKUP(InputData[[#This Row],[PRODUCT ID]],Master[],2,0)</f>
        <v>Steel Creative &amp; Component</v>
      </c>
      <c r="H244" s="3" t="str">
        <f>VLOOKUP(InputData[[#This Row],[PRODUCT ID]],Master[],3,0)</f>
        <v>KBK</v>
      </c>
      <c r="I244" s="3" t="str">
        <f>TEXT(InputData[[#This Row],[MONTH]],"MMMMMM")</f>
        <v>March</v>
      </c>
      <c r="J244" s="3">
        <f>YEAR(InputData[[#This Row],[MONTH]])</f>
        <v>2025</v>
      </c>
      <c r="K244" s="3" t="str">
        <f>"SMT-"&amp;CHOOSE(MONTH(InputData[[#This Row],[MONTH]]),1,1,1,1,1,1,2,2,2,2,2,2)</f>
        <v>SMT-1</v>
      </c>
      <c r="L244" s="20"/>
    </row>
    <row r="245" spans="1:12">
      <c r="A245" s="4">
        <v>45717</v>
      </c>
      <c r="B245" s="3" t="s">
        <v>24</v>
      </c>
      <c r="C245" s="11">
        <f>'[15]Realisasi Hilirisasi'!E41</f>
        <v>0</v>
      </c>
      <c r="D245" s="7">
        <f>'[15]Realisasi Hilirisasi'!F41</f>
        <v>0</v>
      </c>
      <c r="E245" s="5">
        <f>'[15]Realisasi Hilirisasi'!G41</f>
        <v>0</v>
      </c>
      <c r="F245" s="51">
        <f>IFERROR((InputData[[#This Row],[GROSS PROFIT]]/InputData[[#This Row],[REVENUE]])*100%,0)</f>
        <v>0</v>
      </c>
      <c r="G245" s="3" t="str">
        <f>VLOOKUP(InputData[[#This Row],[PRODUCT ID]],Master[],2,0)</f>
        <v>Cut to Lenght</v>
      </c>
      <c r="H245" s="3" t="str">
        <f>VLOOKUP(InputData[[#This Row],[PRODUCT ID]],Master[],3,0)</f>
        <v>KBK</v>
      </c>
      <c r="I245" s="3" t="str">
        <f>TEXT(InputData[[#This Row],[MONTH]],"MMMMMM")</f>
        <v>March</v>
      </c>
      <c r="J245" s="3">
        <f>YEAR(InputData[[#This Row],[MONTH]])</f>
        <v>2025</v>
      </c>
      <c r="K245" s="3" t="str">
        <f>"SMT-"&amp;CHOOSE(MONTH(InputData[[#This Row],[MONTH]]),1,1,1,1,1,1,2,2,2,2,2,2)</f>
        <v>SMT-1</v>
      </c>
      <c r="L245" s="20"/>
    </row>
    <row r="246" spans="1:12">
      <c r="A246" s="4">
        <v>45717</v>
      </c>
      <c r="B246" s="3" t="s">
        <v>12</v>
      </c>
      <c r="C246" s="11">
        <f>'[15]Realisasi Hilirisasi'!E42</f>
        <v>366</v>
      </c>
      <c r="D246" s="7">
        <f>'[15]Realisasi Hilirisasi'!F42</f>
        <v>6906941243.636363</v>
      </c>
      <c r="E246" s="5">
        <f>'[15]Realisasi Hilirisasi'!G42</f>
        <v>91035894</v>
      </c>
      <c r="F246" s="51">
        <f>IFERROR((InputData[[#This Row],[GROSS PROFIT]]/InputData[[#This Row],[REVENUE]])*100%,0)</f>
        <v>1.3180348693985917E-2</v>
      </c>
      <c r="G246" s="3" t="str">
        <f>VLOOKUP(InputData[[#This Row],[PRODUCT ID]],Master[],2,0)</f>
        <v>Electric Pole</v>
      </c>
      <c r="H246" s="3" t="str">
        <f>VLOOKUP(InputData[[#This Row],[PRODUCT ID]],Master[],3,0)</f>
        <v>KPI</v>
      </c>
      <c r="I246" s="3" t="str">
        <f>TEXT(InputData[[#This Row],[MONTH]],"MMMMMM")</f>
        <v>March</v>
      </c>
      <c r="J246" s="3">
        <f>YEAR(InputData[[#This Row],[MONTH]])</f>
        <v>2025</v>
      </c>
      <c r="K246" s="3" t="str">
        <f>"SMT-"&amp;CHOOSE(MONTH(InputData[[#This Row],[MONTH]]),1,1,1,1,1,1,2,2,2,2,2,2)</f>
        <v>SMT-1</v>
      </c>
      <c r="L246" s="20"/>
    </row>
    <row r="247" spans="1:12">
      <c r="A247" s="4">
        <v>45717</v>
      </c>
      <c r="B247" s="3" t="s">
        <v>14</v>
      </c>
      <c r="C247" s="11">
        <f>'[15]Realisasi Hilirisasi'!E43</f>
        <v>0</v>
      </c>
      <c r="D247" s="7">
        <f>'[15]Realisasi Hilirisasi'!F43</f>
        <v>0</v>
      </c>
      <c r="E247" s="5">
        <f>'[15]Realisasi Hilirisasi'!G43</f>
        <v>0</v>
      </c>
      <c r="F247" s="51">
        <f>IFERROR((InputData[[#This Row],[GROSS PROFIT]]/InputData[[#This Row],[REVENUE]])*100%,0)</f>
        <v>0</v>
      </c>
      <c r="G247" s="3" t="str">
        <f>VLOOKUP(InputData[[#This Row],[PRODUCT ID]],Master[],2,0)</f>
        <v>Fiber Optic Pole</v>
      </c>
      <c r="H247" s="3" t="str">
        <f>VLOOKUP(InputData[[#This Row],[PRODUCT ID]],Master[],3,0)</f>
        <v>KPI</v>
      </c>
      <c r="I247" s="3" t="str">
        <f>TEXT(InputData[[#This Row],[MONTH]],"MMMMMM")</f>
        <v>March</v>
      </c>
      <c r="J247" s="3">
        <f>YEAR(InputData[[#This Row],[MONTH]])</f>
        <v>2025</v>
      </c>
      <c r="K247" s="3" t="str">
        <f>"SMT-"&amp;CHOOSE(MONTH(InputData[[#This Row],[MONTH]]),1,1,1,1,1,1,2,2,2,2,2,2)</f>
        <v>SMT-1</v>
      </c>
      <c r="L247" s="20"/>
    </row>
    <row r="248" spans="1:12">
      <c r="A248" s="4">
        <v>45717</v>
      </c>
      <c r="B248" s="3" t="s">
        <v>17</v>
      </c>
      <c r="C248" s="11">
        <f>'[15]Realisasi Hilirisasi'!E44</f>
        <v>0</v>
      </c>
      <c r="D248" s="7">
        <f>'[15]Realisasi Hilirisasi'!F44</f>
        <v>0</v>
      </c>
      <c r="E248" s="5">
        <f>'[15]Realisasi Hilirisasi'!G44</f>
        <v>0</v>
      </c>
      <c r="F248" s="51">
        <f>IFERROR((InputData[[#This Row],[GROSS PROFIT]]/InputData[[#This Row],[REVENUE]])*100%,0)</f>
        <v>0</v>
      </c>
      <c r="G248" s="3" t="str">
        <f>VLOOKUP(InputData[[#This Row],[PRODUCT ID]],Master[],2,0)</f>
        <v>Bends Pipe</v>
      </c>
      <c r="H248" s="3" t="str">
        <f>VLOOKUP(InputData[[#This Row],[PRODUCT ID]],Master[],3,0)</f>
        <v>KPI</v>
      </c>
      <c r="I248" s="3" t="str">
        <f>TEXT(InputData[[#This Row],[MONTH]],"MMMMMM")</f>
        <v>March</v>
      </c>
      <c r="J248" s="3">
        <f>YEAR(InputData[[#This Row],[MONTH]])</f>
        <v>2025</v>
      </c>
      <c r="K248" s="3" t="str">
        <f>"SMT-"&amp;CHOOSE(MONTH(InputData[[#This Row],[MONTH]]),1,1,1,1,1,1,2,2,2,2,2,2)</f>
        <v>SMT-1</v>
      </c>
      <c r="L248" s="20"/>
    </row>
    <row r="249" spans="1:12">
      <c r="A249" s="4">
        <v>45717</v>
      </c>
      <c r="B249" s="3" t="s">
        <v>19</v>
      </c>
      <c r="C249" s="11">
        <f>'[15]Realisasi Hilirisasi'!E45</f>
        <v>271.65959426004923</v>
      </c>
      <c r="D249" s="7">
        <f>'[15]Realisasi Hilirisasi'!F45</f>
        <v>4546252283.4891777</v>
      </c>
      <c r="E249" s="5">
        <f>'[15]Realisasi Hilirisasi'!G45</f>
        <v>67185994.337278053</v>
      </c>
      <c r="F249" s="51">
        <f>IFERROR((InputData[[#This Row],[GROSS PROFIT]]/InputData[[#This Row],[REVENUE]])*100%,0)</f>
        <v>1.4778325123152613E-2</v>
      </c>
      <c r="G249" s="3" t="str">
        <f>VLOOKUP(InputData[[#This Row],[PRODUCT ID]],Master[],2,0)</f>
        <v>Baja Ringan</v>
      </c>
      <c r="H249" s="3" t="str">
        <f>VLOOKUP(InputData[[#This Row],[PRODUCT ID]],Master[],3,0)</f>
        <v>KNI</v>
      </c>
      <c r="I249" s="3" t="str">
        <f>TEXT(InputData[[#This Row],[MONTH]],"MMMMMM")</f>
        <v>March</v>
      </c>
      <c r="J249" s="3">
        <f>YEAR(InputData[[#This Row],[MONTH]])</f>
        <v>2025</v>
      </c>
      <c r="K249" s="3" t="str">
        <f>"SMT-"&amp;CHOOSE(MONTH(InputData[[#This Row],[MONTH]]),1,1,1,1,1,1,2,2,2,2,2,2)</f>
        <v>SMT-1</v>
      </c>
      <c r="L249" s="20"/>
    </row>
    <row r="250" spans="1:12">
      <c r="A250" s="4">
        <v>45717</v>
      </c>
      <c r="B250" s="3" t="s">
        <v>75</v>
      </c>
      <c r="C250" s="11">
        <f>'[15]Realisasi Hilirisasi'!E46</f>
        <v>0</v>
      </c>
      <c r="D250" s="7">
        <f>'[15]Realisasi Hilirisasi'!F46</f>
        <v>0</v>
      </c>
      <c r="E250" s="5">
        <f>'[15]Realisasi Hilirisasi'!G46</f>
        <v>0</v>
      </c>
      <c r="F250" s="51">
        <f>IFERROR((InputData[[#This Row],[GROSS PROFIT]]/InputData[[#This Row],[REVENUE]])*100%,0)</f>
        <v>0</v>
      </c>
      <c r="G250" s="3" t="str">
        <f>VLOOKUP(InputData[[#This Row],[PRODUCT ID]],Master[],2,0)</f>
        <v>Floordeck</v>
      </c>
      <c r="H250" s="3" t="str">
        <f>VLOOKUP(InputData[[#This Row],[PRODUCT ID]],Master[],3,0)</f>
        <v>KNI</v>
      </c>
      <c r="I250" s="3" t="str">
        <f>TEXT(InputData[[#This Row],[MONTH]],"MMMMMM")</f>
        <v>March</v>
      </c>
      <c r="J250" s="3">
        <f>YEAR(InputData[[#This Row],[MONTH]])</f>
        <v>2025</v>
      </c>
      <c r="K250" s="3" t="str">
        <f>"SMT-"&amp;CHOOSE(MONTH(InputData[[#This Row],[MONTH]]),1,1,1,1,1,1,2,2,2,2,2,2)</f>
        <v>SMT-1</v>
      </c>
      <c r="L250" s="20"/>
    </row>
    <row r="251" spans="1:12">
      <c r="A251" s="4">
        <v>45717</v>
      </c>
      <c r="B251" s="3" t="s">
        <v>18</v>
      </c>
      <c r="C251" s="11">
        <f>'[15]Realisasi Hilirisasi'!E47</f>
        <v>0</v>
      </c>
      <c r="D251" s="7">
        <f>'[15]Realisasi Hilirisasi'!F47</f>
        <v>0</v>
      </c>
      <c r="E251" s="5">
        <f>'[15]Realisasi Hilirisasi'!G47</f>
        <v>0</v>
      </c>
      <c r="F251" s="51">
        <f>IFERROR((InputData[[#This Row],[GROSS PROFIT]]/InputData[[#This Row],[REVENUE]])*100%,0)</f>
        <v>0</v>
      </c>
      <c r="G251" s="3" t="str">
        <f>VLOOKUP(InputData[[#This Row],[PRODUCT ID]],Master[],2,0)</f>
        <v>Galvanized &amp; Galvalume</v>
      </c>
      <c r="H251" s="3" t="str">
        <f>VLOOKUP(InputData[[#This Row],[PRODUCT ID]],Master[],3,0)</f>
        <v>KNI</v>
      </c>
      <c r="I251" s="3" t="str">
        <f>TEXT(InputData[[#This Row],[MONTH]],"MMMMMM")</f>
        <v>March</v>
      </c>
      <c r="J251" s="3">
        <f>YEAR(InputData[[#This Row],[MONTH]])</f>
        <v>2025</v>
      </c>
      <c r="K251" s="3" t="str">
        <f>"SMT-"&amp;CHOOSE(MONTH(InputData[[#This Row],[MONTH]]),1,1,1,1,1,1,2,2,2,2,2,2)</f>
        <v>SMT-1</v>
      </c>
      <c r="L251" s="20"/>
    </row>
    <row r="252" spans="1:12">
      <c r="A252" s="4">
        <v>45717</v>
      </c>
      <c r="B252" s="3" t="s">
        <v>20</v>
      </c>
      <c r="C252" s="11">
        <f>'[15]Realisasi Hilirisasi'!E48</f>
        <v>0</v>
      </c>
      <c r="D252" s="7">
        <f>'[15]Realisasi Hilirisasi'!F48</f>
        <v>0</v>
      </c>
      <c r="E252" s="5">
        <f>'[15]Realisasi Hilirisasi'!G48</f>
        <v>0</v>
      </c>
      <c r="F252" s="51">
        <f>IFERROR((InputData[[#This Row],[GROSS PROFIT]]/InputData[[#This Row],[REVENUE]])*100%,0)</f>
        <v>0</v>
      </c>
      <c r="G252" s="3" t="str">
        <f>VLOOKUP(InputData[[#This Row],[PRODUCT ID]],Master[],2,0)</f>
        <v>CNP</v>
      </c>
      <c r="H252" s="3" t="str">
        <f>VLOOKUP(InputData[[#This Row],[PRODUCT ID]],Master[],3,0)</f>
        <v>KNI</v>
      </c>
      <c r="I252" s="3" t="str">
        <f>TEXT(InputData[[#This Row],[MONTH]],"MMMMMM")</f>
        <v>March</v>
      </c>
      <c r="J252" s="3">
        <f>YEAR(InputData[[#This Row],[MONTH]])</f>
        <v>2025</v>
      </c>
      <c r="K252" s="3" t="str">
        <f>"SMT-"&amp;CHOOSE(MONTH(InputData[[#This Row],[MONTH]]),1,1,1,1,1,1,2,2,2,2,2,2)</f>
        <v>SMT-1</v>
      </c>
      <c r="L252" s="20"/>
    </row>
    <row r="253" spans="1:12">
      <c r="A253" s="4">
        <v>45717</v>
      </c>
      <c r="B253" s="3" t="s">
        <v>23</v>
      </c>
      <c r="C253" s="11">
        <f>'[15]Realisasi Hilirisasi'!E49</f>
        <v>95.381</v>
      </c>
      <c r="D253" s="7">
        <f>'[15]Realisasi Hilirisasi'!F49</f>
        <v>1482950365</v>
      </c>
      <c r="E253" s="5">
        <f>'[15]Realisasi Hilirisasi'!G49</f>
        <v>170307198</v>
      </c>
      <c r="F253" s="51">
        <f>IFERROR((InputData[[#This Row],[GROSS PROFIT]]/InputData[[#This Row],[REVENUE]])*100%,0)</f>
        <v>0.11484349174424324</v>
      </c>
      <c r="G253" s="3" t="str">
        <f>VLOOKUP(InputData[[#This Row],[PRODUCT ID]],Master[],2,0)</f>
        <v>Other Product</v>
      </c>
      <c r="H253" s="3" t="str">
        <f>VLOOKUP(InputData[[#This Row],[PRODUCT ID]],Master[],3,0)</f>
        <v>KNI</v>
      </c>
      <c r="I253" s="3" t="str">
        <f>TEXT(InputData[[#This Row],[MONTH]],"MMMMMM")</f>
        <v>March</v>
      </c>
      <c r="J253" s="3">
        <f>YEAR(InputData[[#This Row],[MONTH]])</f>
        <v>2025</v>
      </c>
      <c r="K253" s="3" t="str">
        <f>"SMT-"&amp;CHOOSE(MONTH(InputData[[#This Row],[MONTH]]),1,1,1,1,1,1,2,2,2,2,2,2)</f>
        <v>SMT-1</v>
      </c>
      <c r="L253" s="20"/>
    </row>
    <row r="254" spans="1:12">
      <c r="A254" s="4">
        <v>45717</v>
      </c>
      <c r="B254" s="3" t="s">
        <v>21</v>
      </c>
      <c r="C254" s="11">
        <f>'[15]Realisasi Hilirisasi'!E50</f>
        <v>0</v>
      </c>
      <c r="D254" s="7">
        <f>'[15]Realisasi Hilirisasi'!F50</f>
        <v>0</v>
      </c>
      <c r="E254" s="5">
        <f>'[15]Realisasi Hilirisasi'!G50</f>
        <v>0</v>
      </c>
      <c r="F254" s="51">
        <f>IFERROR((InputData[[#This Row],[GROSS PROFIT]]/InputData[[#This Row],[REVENUE]])*100%,0)</f>
        <v>0</v>
      </c>
      <c r="G254" s="3" t="str">
        <f>VLOOKUP(InputData[[#This Row],[PRODUCT ID]],Master[],2,0)</f>
        <v>Welded Beam</v>
      </c>
      <c r="H254" s="3" t="str">
        <f>VLOOKUP(InputData[[#This Row],[PRODUCT ID]],Master[],3,0)</f>
        <v>KPdP</v>
      </c>
      <c r="I254" s="3" t="str">
        <f>TEXT(InputData[[#This Row],[MONTH]],"MMMMMM")</f>
        <v>March</v>
      </c>
      <c r="J254" s="3">
        <f>YEAR(InputData[[#This Row],[MONTH]])</f>
        <v>2025</v>
      </c>
      <c r="K254" s="3" t="str">
        <f>"SMT-"&amp;CHOOSE(MONTH(InputData[[#This Row],[MONTH]]),1,1,1,1,1,1,2,2,2,2,2,2)</f>
        <v>SMT-1</v>
      </c>
      <c r="L254" s="20"/>
    </row>
    <row r="255" spans="1:12">
      <c r="A255" s="4">
        <v>45748</v>
      </c>
      <c r="B255" s="3" t="s">
        <v>4</v>
      </c>
      <c r="C255" s="11">
        <f>'[15]Realisasi Hilirisasi'!E51</f>
        <v>0</v>
      </c>
      <c r="D255" s="7">
        <f>'[15]Realisasi Hilirisasi'!F51</f>
        <v>0</v>
      </c>
      <c r="E255" s="5">
        <f>'[15]Realisasi Hilirisasi'!G51</f>
        <v>0</v>
      </c>
      <c r="F255" s="51">
        <f>IFERROR((InputData[[#This Row],[GROSS PROFIT]]/InputData[[#This Row],[REVENUE]])*100%,0)</f>
        <v>0</v>
      </c>
      <c r="G255" s="3" t="str">
        <f>VLOOKUP(InputData[[#This Row],[PRODUCT ID]],Master[],2,0)</f>
        <v>Tower</v>
      </c>
      <c r="H255" s="3" t="str">
        <f>VLOOKUP(InputData[[#This Row],[PRODUCT ID]],Master[],3,0)</f>
        <v>KBK</v>
      </c>
      <c r="I255" s="3" t="str">
        <f>TEXT(InputData[[#This Row],[MONTH]],"MMMMMM")</f>
        <v>April</v>
      </c>
      <c r="J255" s="3">
        <f>YEAR(InputData[[#This Row],[MONTH]])</f>
        <v>2025</v>
      </c>
      <c r="K255" s="3" t="str">
        <f>"SMT-"&amp;CHOOSE(MONTH(InputData[[#This Row],[MONTH]]),1,1,1,1,1,1,2,2,2,2,2,2)</f>
        <v>SMT-1</v>
      </c>
      <c r="L255" s="20"/>
    </row>
    <row r="256" spans="1:12">
      <c r="A256" s="4">
        <v>45748</v>
      </c>
      <c r="B256" s="3" t="s">
        <v>9</v>
      </c>
      <c r="C256" s="11">
        <f>'[15]Realisasi Hilirisasi'!E52</f>
        <v>183.98029621875</v>
      </c>
      <c r="D256" s="7">
        <f>'[15]Realisasi Hilirisasi'!F52</f>
        <v>5887369479</v>
      </c>
      <c r="E256" s="5">
        <f>'[15]Realisasi Hilirisasi'!G52</f>
        <v>470989558.31999969</v>
      </c>
      <c r="F256" s="51">
        <f>IFERROR((InputData[[#This Row],[GROSS PROFIT]]/InputData[[#This Row],[REVENUE]])*100%,0)</f>
        <v>7.9999999999999946E-2</v>
      </c>
      <c r="G256" s="3" t="str">
        <f>VLOOKUP(InputData[[#This Row],[PRODUCT ID]],Master[],2,0)</f>
        <v>Steel Structure</v>
      </c>
      <c r="H256" s="3" t="str">
        <f>VLOOKUP(InputData[[#This Row],[PRODUCT ID]],Master[],3,0)</f>
        <v>KBK</v>
      </c>
      <c r="I256" s="3" t="str">
        <f>TEXT(InputData[[#This Row],[MONTH]],"MMMMMM")</f>
        <v>April</v>
      </c>
      <c r="J256" s="3">
        <f>YEAR(InputData[[#This Row],[MONTH]])</f>
        <v>2025</v>
      </c>
      <c r="K256" s="3" t="str">
        <f>"SMT-"&amp;CHOOSE(MONTH(InputData[[#This Row],[MONTH]]),1,1,1,1,1,1,2,2,2,2,2,2)</f>
        <v>SMT-1</v>
      </c>
      <c r="L256" s="20"/>
    </row>
    <row r="257" spans="1:12">
      <c r="A257" s="4">
        <v>45748</v>
      </c>
      <c r="B257" s="3" t="s">
        <v>22</v>
      </c>
      <c r="C257" s="11">
        <f>'[15]Realisasi Hilirisasi'!E53</f>
        <v>0</v>
      </c>
      <c r="D257" s="7">
        <f>'[15]Realisasi Hilirisasi'!F53</f>
        <v>0</v>
      </c>
      <c r="E257" s="5">
        <f>'[15]Realisasi Hilirisasi'!G53</f>
        <v>0</v>
      </c>
      <c r="F257" s="51">
        <f>IFERROR((InputData[[#This Row],[GROSS PROFIT]]/InputData[[#This Row],[REVENUE]])*100%,0)</f>
        <v>0</v>
      </c>
      <c r="G257" s="3" t="str">
        <f>VLOOKUP(InputData[[#This Row],[PRODUCT ID]],Master[],2,0)</f>
        <v>Modular</v>
      </c>
      <c r="H257" s="3" t="str">
        <f>VLOOKUP(InputData[[#This Row],[PRODUCT ID]],Master[],3,0)</f>
        <v>KBK</v>
      </c>
      <c r="I257" s="3" t="str">
        <f>TEXT(InputData[[#This Row],[MONTH]],"MMMMMM")</f>
        <v>April</v>
      </c>
      <c r="J257" s="3">
        <f>YEAR(InputData[[#This Row],[MONTH]])</f>
        <v>2025</v>
      </c>
      <c r="K257" s="3" t="str">
        <f>"SMT-"&amp;CHOOSE(MONTH(InputData[[#This Row],[MONTH]]),1,1,1,1,1,1,2,2,2,2,2,2)</f>
        <v>SMT-1</v>
      </c>
      <c r="L257" s="20"/>
    </row>
    <row r="258" spans="1:12">
      <c r="A258" s="4">
        <v>45748</v>
      </c>
      <c r="B258" s="3" t="s">
        <v>11</v>
      </c>
      <c r="C258" s="11">
        <f>'[15]Realisasi Hilirisasi'!E54</f>
        <v>24.8064</v>
      </c>
      <c r="D258" s="7">
        <f>'[15]Realisasi Hilirisasi'!F54</f>
        <v>406328100</v>
      </c>
      <c r="E258" s="5">
        <f>'[15]Realisasi Hilirisasi'!G54</f>
        <v>59495999.99999994</v>
      </c>
      <c r="F258" s="51">
        <f>IFERROR((InputData[[#This Row],[GROSS PROFIT]]/InputData[[#This Row],[REVENUE]])*100%,0)</f>
        <v>0.14642354294472851</v>
      </c>
      <c r="G258" s="3" t="str">
        <f>VLOOKUP(InputData[[#This Row],[PRODUCT ID]],Master[],2,0)</f>
        <v>Steel Creative &amp; Component</v>
      </c>
      <c r="H258" s="3" t="str">
        <f>VLOOKUP(InputData[[#This Row],[PRODUCT ID]],Master[],3,0)</f>
        <v>KBK</v>
      </c>
      <c r="I258" s="3" t="str">
        <f>TEXT(InputData[[#This Row],[MONTH]],"MMMMMM")</f>
        <v>April</v>
      </c>
      <c r="J258" s="3">
        <f>YEAR(InputData[[#This Row],[MONTH]])</f>
        <v>2025</v>
      </c>
      <c r="K258" s="3" t="str">
        <f>"SMT-"&amp;CHOOSE(MONTH(InputData[[#This Row],[MONTH]]),1,1,1,1,1,1,2,2,2,2,2,2)</f>
        <v>SMT-1</v>
      </c>
      <c r="L258" s="20"/>
    </row>
    <row r="259" spans="1:12">
      <c r="A259" s="4">
        <v>45748</v>
      </c>
      <c r="B259" s="3" t="s">
        <v>24</v>
      </c>
      <c r="C259" s="11">
        <f>'[15]Realisasi Hilirisasi'!E55</f>
        <v>0</v>
      </c>
      <c r="D259" s="7">
        <f>'[15]Realisasi Hilirisasi'!F55</f>
        <v>0</v>
      </c>
      <c r="E259" s="5">
        <f>'[15]Realisasi Hilirisasi'!G55</f>
        <v>0</v>
      </c>
      <c r="F259" s="51">
        <f>IFERROR((InputData[[#This Row],[GROSS PROFIT]]/InputData[[#This Row],[REVENUE]])*100%,0)</f>
        <v>0</v>
      </c>
      <c r="G259" s="3" t="str">
        <f>VLOOKUP(InputData[[#This Row],[PRODUCT ID]],Master[],2,0)</f>
        <v>Cut to Lenght</v>
      </c>
      <c r="H259" s="3" t="str">
        <f>VLOOKUP(InputData[[#This Row],[PRODUCT ID]],Master[],3,0)</f>
        <v>KBK</v>
      </c>
      <c r="I259" s="3" t="str">
        <f>TEXT(InputData[[#This Row],[MONTH]],"MMMMMM")</f>
        <v>April</v>
      </c>
      <c r="J259" s="3">
        <f>YEAR(InputData[[#This Row],[MONTH]])</f>
        <v>2025</v>
      </c>
      <c r="K259" s="3" t="str">
        <f>"SMT-"&amp;CHOOSE(MONTH(InputData[[#This Row],[MONTH]]),1,1,1,1,1,1,2,2,2,2,2,2)</f>
        <v>SMT-1</v>
      </c>
      <c r="L259" s="20"/>
    </row>
    <row r="260" spans="1:12">
      <c r="A260" s="4">
        <v>45748</v>
      </c>
      <c r="B260" s="3" t="s">
        <v>12</v>
      </c>
      <c r="C260" s="11">
        <f>'[15]Realisasi Hilirisasi'!E56</f>
        <v>80.334000000000003</v>
      </c>
      <c r="D260" s="7">
        <f>'[15]Realisasi Hilirisasi'!F56</f>
        <v>1414151180.9090908</v>
      </c>
      <c r="E260" s="5">
        <f>'[15]Realisasi Hilirisasi'!G56</f>
        <v>20003166</v>
      </c>
      <c r="F260" s="51">
        <f>IFERROR((InputData[[#This Row],[GROSS PROFIT]]/InputData[[#This Row],[REVENUE]])*100%,0)</f>
        <v>1.4144998264712343E-2</v>
      </c>
      <c r="G260" s="3" t="str">
        <f>VLOOKUP(InputData[[#This Row],[PRODUCT ID]],Master[],2,0)</f>
        <v>Electric Pole</v>
      </c>
      <c r="H260" s="3" t="str">
        <f>VLOOKUP(InputData[[#This Row],[PRODUCT ID]],Master[],3,0)</f>
        <v>KPI</v>
      </c>
      <c r="I260" s="3" t="str">
        <f>TEXT(InputData[[#This Row],[MONTH]],"MMMMMM")</f>
        <v>April</v>
      </c>
      <c r="J260" s="3">
        <f>YEAR(InputData[[#This Row],[MONTH]])</f>
        <v>2025</v>
      </c>
      <c r="K260" s="3" t="str">
        <f>"SMT-"&amp;CHOOSE(MONTH(InputData[[#This Row],[MONTH]]),1,1,1,1,1,1,2,2,2,2,2,2)</f>
        <v>SMT-1</v>
      </c>
      <c r="L260" s="20"/>
    </row>
    <row r="261" spans="1:12">
      <c r="A261" s="4">
        <v>45748</v>
      </c>
      <c r="B261" s="3" t="s">
        <v>14</v>
      </c>
      <c r="C261" s="11">
        <f>'[15]Realisasi Hilirisasi'!E57</f>
        <v>0</v>
      </c>
      <c r="D261" s="7">
        <f>'[15]Realisasi Hilirisasi'!F57</f>
        <v>0</v>
      </c>
      <c r="E261" s="5">
        <f>'[15]Realisasi Hilirisasi'!G57</f>
        <v>0</v>
      </c>
      <c r="F261" s="51">
        <f>IFERROR((InputData[[#This Row],[GROSS PROFIT]]/InputData[[#This Row],[REVENUE]])*100%,0)</f>
        <v>0</v>
      </c>
      <c r="G261" s="3" t="str">
        <f>VLOOKUP(InputData[[#This Row],[PRODUCT ID]],Master[],2,0)</f>
        <v>Fiber Optic Pole</v>
      </c>
      <c r="H261" s="3" t="str">
        <f>VLOOKUP(InputData[[#This Row],[PRODUCT ID]],Master[],3,0)</f>
        <v>KPI</v>
      </c>
      <c r="I261" s="3" t="str">
        <f>TEXT(InputData[[#This Row],[MONTH]],"MMMMMM")</f>
        <v>April</v>
      </c>
      <c r="J261" s="3">
        <f>YEAR(InputData[[#This Row],[MONTH]])</f>
        <v>2025</v>
      </c>
      <c r="K261" s="3" t="str">
        <f>"SMT-"&amp;CHOOSE(MONTH(InputData[[#This Row],[MONTH]]),1,1,1,1,1,1,2,2,2,2,2,2)</f>
        <v>SMT-1</v>
      </c>
      <c r="L261" s="20"/>
    </row>
    <row r="262" spans="1:12">
      <c r="A262" s="4">
        <v>45748</v>
      </c>
      <c r="B262" s="3" t="s">
        <v>17</v>
      </c>
      <c r="C262" s="11">
        <f>'[15]Realisasi Hilirisasi'!E58</f>
        <v>0</v>
      </c>
      <c r="D262" s="7">
        <f>'[15]Realisasi Hilirisasi'!F58</f>
        <v>0</v>
      </c>
      <c r="E262" s="5">
        <f>'[15]Realisasi Hilirisasi'!G58</f>
        <v>0</v>
      </c>
      <c r="F262" s="51">
        <f>IFERROR((InputData[[#This Row],[GROSS PROFIT]]/InputData[[#This Row],[REVENUE]])*100%,0)</f>
        <v>0</v>
      </c>
      <c r="G262" s="3" t="str">
        <f>VLOOKUP(InputData[[#This Row],[PRODUCT ID]],Master[],2,0)</f>
        <v>Bends Pipe</v>
      </c>
      <c r="H262" s="3" t="str">
        <f>VLOOKUP(InputData[[#This Row],[PRODUCT ID]],Master[],3,0)</f>
        <v>KPI</v>
      </c>
      <c r="I262" s="3" t="str">
        <f>TEXT(InputData[[#This Row],[MONTH]],"MMMMMM")</f>
        <v>April</v>
      </c>
      <c r="J262" s="3">
        <f>YEAR(InputData[[#This Row],[MONTH]])</f>
        <v>2025</v>
      </c>
      <c r="K262" s="3" t="str">
        <f>"SMT-"&amp;CHOOSE(MONTH(InputData[[#This Row],[MONTH]]),1,1,1,1,1,1,2,2,2,2,2,2)</f>
        <v>SMT-1</v>
      </c>
      <c r="L262" s="20"/>
    </row>
    <row r="263" spans="1:12">
      <c r="A263" s="4">
        <v>45748</v>
      </c>
      <c r="B263" s="3" t="s">
        <v>16</v>
      </c>
      <c r="C263" s="11">
        <f>'[15]Realisasi Hilirisasi'!E59</f>
        <v>0</v>
      </c>
      <c r="D263" s="7">
        <f>'[15]Realisasi Hilirisasi'!F59</f>
        <v>0</v>
      </c>
      <c r="E263" s="5">
        <f>'[15]Realisasi Hilirisasi'!G59</f>
        <v>0</v>
      </c>
      <c r="F263" s="51">
        <f>IFERROR((InputData[[#This Row],[GROSS PROFIT]]/InputData[[#This Row],[REVENUE]])*100%,0)</f>
        <v>0</v>
      </c>
      <c r="G263" s="3" t="str">
        <f>VLOOKUP(InputData[[#This Row],[PRODUCT ID]],Master[],2,0)</f>
        <v>Seamless Pipe</v>
      </c>
      <c r="H263" s="3" t="str">
        <f>VLOOKUP(InputData[[#This Row],[PRODUCT ID]],Master[],3,0)</f>
        <v>KPI</v>
      </c>
      <c r="I263" s="3" t="str">
        <f>TEXT(InputData[[#This Row],[MONTH]],"MMMMMM")</f>
        <v>April</v>
      </c>
      <c r="J263" s="3">
        <f>YEAR(InputData[[#This Row],[MONTH]])</f>
        <v>2025</v>
      </c>
      <c r="K263" s="3" t="str">
        <f>"SMT-"&amp;CHOOSE(MONTH(InputData[[#This Row],[MONTH]]),1,1,1,1,1,1,2,2,2,2,2,2)</f>
        <v>SMT-1</v>
      </c>
      <c r="L263" s="20"/>
    </row>
    <row r="264" spans="1:12">
      <c r="A264" s="4">
        <v>45748</v>
      </c>
      <c r="B264" s="3" t="s">
        <v>19</v>
      </c>
      <c r="C264" s="11">
        <f>'[15]Realisasi Hilirisasi'!E60</f>
        <v>181.28800049999998</v>
      </c>
      <c r="D264" s="7">
        <f>'[15]Realisasi Hilirisasi'!F60</f>
        <v>3083249412.1261697</v>
      </c>
      <c r="E264" s="5">
        <f>'[15]Realisasi Hilirisasi'!G60</f>
        <v>45565262.248169653</v>
      </c>
      <c r="F264" s="51">
        <f>IFERROR((InputData[[#This Row],[GROSS PROFIT]]/InputData[[#This Row],[REVENUE]])*100%,0)</f>
        <v>1.4778325123152598E-2</v>
      </c>
      <c r="G264" s="3" t="str">
        <f>VLOOKUP(InputData[[#This Row],[PRODUCT ID]],Master[],2,0)</f>
        <v>Baja Ringan</v>
      </c>
      <c r="H264" s="3" t="str">
        <f>VLOOKUP(InputData[[#This Row],[PRODUCT ID]],Master[],3,0)</f>
        <v>KNI</v>
      </c>
      <c r="I264" s="3" t="str">
        <f>TEXT(InputData[[#This Row],[MONTH]],"MMMMMM")</f>
        <v>April</v>
      </c>
      <c r="J264" s="3">
        <f>YEAR(InputData[[#This Row],[MONTH]])</f>
        <v>2025</v>
      </c>
      <c r="K264" s="3" t="str">
        <f>"SMT-"&amp;CHOOSE(MONTH(InputData[[#This Row],[MONTH]]),1,1,1,1,1,1,2,2,2,2,2,2)</f>
        <v>SMT-1</v>
      </c>
      <c r="L264" s="20"/>
    </row>
    <row r="265" spans="1:12">
      <c r="A265" s="4">
        <v>45748</v>
      </c>
      <c r="B265" s="3" t="s">
        <v>75</v>
      </c>
      <c r="C265" s="11">
        <f>'[15]Realisasi Hilirisasi'!E61</f>
        <v>0</v>
      </c>
      <c r="D265" s="7">
        <f>'[15]Realisasi Hilirisasi'!F61</f>
        <v>0</v>
      </c>
      <c r="E265" s="5">
        <f>'[15]Realisasi Hilirisasi'!G61</f>
        <v>0</v>
      </c>
      <c r="F265" s="51">
        <f>IFERROR((InputData[[#This Row],[GROSS PROFIT]]/InputData[[#This Row],[REVENUE]])*100%,0)</f>
        <v>0</v>
      </c>
      <c r="G265" s="3" t="str">
        <f>VLOOKUP(InputData[[#This Row],[PRODUCT ID]],Master[],2,0)</f>
        <v>Floordeck</v>
      </c>
      <c r="H265" s="3" t="str">
        <f>VLOOKUP(InputData[[#This Row],[PRODUCT ID]],Master[],3,0)</f>
        <v>KNI</v>
      </c>
      <c r="I265" s="3" t="str">
        <f>TEXT(InputData[[#This Row],[MONTH]],"MMMMMM")</f>
        <v>April</v>
      </c>
      <c r="J265" s="3">
        <f>YEAR(InputData[[#This Row],[MONTH]])</f>
        <v>2025</v>
      </c>
      <c r="K265" s="3" t="str">
        <f>"SMT-"&amp;CHOOSE(MONTH(InputData[[#This Row],[MONTH]]),1,1,1,1,1,1,2,2,2,2,2,2)</f>
        <v>SMT-1</v>
      </c>
      <c r="L265" s="20"/>
    </row>
    <row r="266" spans="1:12">
      <c r="A266" s="4">
        <v>45748</v>
      </c>
      <c r="B266" s="3" t="s">
        <v>18</v>
      </c>
      <c r="C266" s="11">
        <f>'[15]Realisasi Hilirisasi'!E62</f>
        <v>0</v>
      </c>
      <c r="D266" s="7">
        <f>'[15]Realisasi Hilirisasi'!F62</f>
        <v>0</v>
      </c>
      <c r="E266" s="5">
        <f>'[15]Realisasi Hilirisasi'!G62</f>
        <v>0</v>
      </c>
      <c r="F266" s="51">
        <f>IFERROR((InputData[[#This Row],[GROSS PROFIT]]/InputData[[#This Row],[REVENUE]])*100%,0)</f>
        <v>0</v>
      </c>
      <c r="G266" s="3" t="str">
        <f>VLOOKUP(InputData[[#This Row],[PRODUCT ID]],Master[],2,0)</f>
        <v>Galvanized &amp; Galvalume</v>
      </c>
      <c r="H266" s="3" t="str">
        <f>VLOOKUP(InputData[[#This Row],[PRODUCT ID]],Master[],3,0)</f>
        <v>KNI</v>
      </c>
      <c r="I266" s="3" t="str">
        <f>TEXT(InputData[[#This Row],[MONTH]],"MMMMMM")</f>
        <v>April</v>
      </c>
      <c r="J266" s="3">
        <f>YEAR(InputData[[#This Row],[MONTH]])</f>
        <v>2025</v>
      </c>
      <c r="K266" s="3" t="str">
        <f>"SMT-"&amp;CHOOSE(MONTH(InputData[[#This Row],[MONTH]]),1,1,1,1,1,1,2,2,2,2,2,2)</f>
        <v>SMT-1</v>
      </c>
      <c r="L266" s="20"/>
    </row>
    <row r="267" spans="1:12">
      <c r="A267" s="4">
        <v>45748</v>
      </c>
      <c r="B267" s="3" t="s">
        <v>20</v>
      </c>
      <c r="C267" s="11">
        <f>'[15]Realisasi Hilirisasi'!E63</f>
        <v>0</v>
      </c>
      <c r="D267" s="7">
        <f>'[15]Realisasi Hilirisasi'!F63</f>
        <v>0</v>
      </c>
      <c r="E267" s="5">
        <f>'[15]Realisasi Hilirisasi'!G63</f>
        <v>0</v>
      </c>
      <c r="F267" s="51">
        <f>IFERROR((InputData[[#This Row],[GROSS PROFIT]]/InputData[[#This Row],[REVENUE]])*100%,0)</f>
        <v>0</v>
      </c>
      <c r="G267" s="3" t="str">
        <f>VLOOKUP(InputData[[#This Row],[PRODUCT ID]],Master[],2,0)</f>
        <v>CNP</v>
      </c>
      <c r="H267" s="3" t="str">
        <f>VLOOKUP(InputData[[#This Row],[PRODUCT ID]],Master[],3,0)</f>
        <v>KNI</v>
      </c>
      <c r="I267" s="3" t="str">
        <f>TEXT(InputData[[#This Row],[MONTH]],"MMMMMM")</f>
        <v>April</v>
      </c>
      <c r="J267" s="3">
        <f>YEAR(InputData[[#This Row],[MONTH]])</f>
        <v>2025</v>
      </c>
      <c r="K267" s="3" t="str">
        <f>"SMT-"&amp;CHOOSE(MONTH(InputData[[#This Row],[MONTH]]),1,1,1,1,1,1,2,2,2,2,2,2)</f>
        <v>SMT-1</v>
      </c>
      <c r="L267" s="20"/>
    </row>
    <row r="268" spans="1:12">
      <c r="A268" s="4">
        <v>45748</v>
      </c>
      <c r="B268" s="3" t="s">
        <v>23</v>
      </c>
      <c r="C268" s="11">
        <f>'[15]Realisasi Hilirisasi'!E64</f>
        <v>5.6553500000000003</v>
      </c>
      <c r="D268" s="7">
        <f>'[15]Realisasi Hilirisasi'!F64</f>
        <v>79321052</v>
      </c>
      <c r="E268" s="5">
        <f>'[15]Realisasi Hilirisasi'!G64</f>
        <v>-2500080</v>
      </c>
      <c r="F268" s="51">
        <f>IFERROR((InputData[[#This Row],[GROSS PROFIT]]/InputData[[#This Row],[REVENUE]])*100%,0)</f>
        <v>-3.1518492719940228E-2</v>
      </c>
      <c r="G268" s="3" t="str">
        <f>VLOOKUP(InputData[[#This Row],[PRODUCT ID]],Master[],2,0)</f>
        <v>Other Product</v>
      </c>
      <c r="H268" s="3" t="str">
        <f>VLOOKUP(InputData[[#This Row],[PRODUCT ID]],Master[],3,0)</f>
        <v>KNI</v>
      </c>
      <c r="I268" s="3" t="str">
        <f>TEXT(InputData[[#This Row],[MONTH]],"MMMMMM")</f>
        <v>April</v>
      </c>
      <c r="J268" s="3">
        <f>YEAR(InputData[[#This Row],[MONTH]])</f>
        <v>2025</v>
      </c>
      <c r="K268" s="3" t="str">
        <f>"SMT-"&amp;CHOOSE(MONTH(InputData[[#This Row],[MONTH]]),1,1,1,1,1,1,2,2,2,2,2,2)</f>
        <v>SMT-1</v>
      </c>
      <c r="L268" s="20"/>
    </row>
    <row r="269" spans="1:12">
      <c r="A269" s="4">
        <v>45748</v>
      </c>
      <c r="B269" s="3" t="s">
        <v>21</v>
      </c>
      <c r="C269" s="11">
        <f>'[15]Realisasi Hilirisasi'!E65</f>
        <v>0</v>
      </c>
      <c r="D269" s="7">
        <f>'[15]Realisasi Hilirisasi'!F65</f>
        <v>0</v>
      </c>
      <c r="E269" s="5">
        <f>'[15]Realisasi Hilirisasi'!G65</f>
        <v>0</v>
      </c>
      <c r="F269" s="51">
        <f>IFERROR((InputData[[#This Row],[GROSS PROFIT]]/InputData[[#This Row],[REVENUE]])*100%,0)</f>
        <v>0</v>
      </c>
      <c r="G269" s="3" t="str">
        <f>VLOOKUP(InputData[[#This Row],[PRODUCT ID]],Master[],2,0)</f>
        <v>Welded Beam</v>
      </c>
      <c r="H269" s="3" t="str">
        <f>VLOOKUP(InputData[[#This Row],[PRODUCT ID]],Master[],3,0)</f>
        <v>KPdP</v>
      </c>
      <c r="I269" s="3" t="str">
        <f>TEXT(InputData[[#This Row],[MONTH]],"MMMMMM")</f>
        <v>April</v>
      </c>
      <c r="J269" s="3">
        <f>YEAR(InputData[[#This Row],[MONTH]])</f>
        <v>2025</v>
      </c>
      <c r="K269" s="3" t="str">
        <f>"SMT-"&amp;CHOOSE(MONTH(InputData[[#This Row],[MONTH]]),1,1,1,1,1,1,2,2,2,2,2,2)</f>
        <v>SMT-1</v>
      </c>
      <c r="L269" s="20"/>
    </row>
    <row r="270" spans="1:12">
      <c r="A270" s="4">
        <v>45778</v>
      </c>
      <c r="B270" s="3" t="s">
        <v>4</v>
      </c>
      <c r="C270" s="11">
        <f>'[15]Realisasi Hilirisasi'!E66</f>
        <v>7.5430000000000001</v>
      </c>
      <c r="D270" s="7">
        <f>'[15]Realisasi Hilirisasi'!F66</f>
        <v>180656240</v>
      </c>
      <c r="E270" s="5">
        <f>'[15]Realisasi Hilirisasi'!G66</f>
        <v>14524800</v>
      </c>
      <c r="F270" s="51">
        <f>IFERROR((InputData[[#This Row],[GROSS PROFIT]]/InputData[[#This Row],[REVENUE]])*100%,0)</f>
        <v>8.0400212026996681E-2</v>
      </c>
      <c r="G270" s="3" t="str">
        <f>VLOOKUP(InputData[[#This Row],[PRODUCT ID]],Master[],2,0)</f>
        <v>Tower</v>
      </c>
      <c r="H270" s="3" t="str">
        <f>VLOOKUP(InputData[[#This Row],[PRODUCT ID]],Master[],3,0)</f>
        <v>KBK</v>
      </c>
      <c r="I270" s="3" t="str">
        <f>TEXT(InputData[[#This Row],[MONTH]],"MMMMMM")</f>
        <v>May</v>
      </c>
      <c r="J270" s="3">
        <f>YEAR(InputData[[#This Row],[MONTH]])</f>
        <v>2025</v>
      </c>
      <c r="K270" s="3" t="str">
        <f>"SMT-"&amp;CHOOSE(MONTH(InputData[[#This Row],[MONTH]]),1,1,1,1,1,1,2,2,2,2,2,2)</f>
        <v>SMT-1</v>
      </c>
      <c r="L270" s="20"/>
    </row>
    <row r="271" spans="1:12">
      <c r="A271" s="4">
        <v>45778</v>
      </c>
      <c r="B271" s="3" t="s">
        <v>9</v>
      </c>
      <c r="C271" s="11">
        <f>'[15]Realisasi Hilirisasi'!E67</f>
        <v>215.66829842499999</v>
      </c>
      <c r="D271" s="7">
        <f>'[15]Realisasi Hilirisasi'!F67</f>
        <v>9058068533.8499985</v>
      </c>
      <c r="E271" s="5">
        <f>'[15]Realisasi Hilirisasi'!G67</f>
        <v>452903426.69250005</v>
      </c>
      <c r="F271" s="51">
        <f>IFERROR((InputData[[#This Row],[GROSS PROFIT]]/InputData[[#This Row],[REVENUE]])*100%,0)</f>
        <v>5.0000000000000017E-2</v>
      </c>
      <c r="G271" s="3" t="str">
        <f>VLOOKUP(InputData[[#This Row],[PRODUCT ID]],Master[],2,0)</f>
        <v>Steel Structure</v>
      </c>
      <c r="H271" s="3" t="str">
        <f>VLOOKUP(InputData[[#This Row],[PRODUCT ID]],Master[],3,0)</f>
        <v>KBK</v>
      </c>
      <c r="I271" s="3" t="str">
        <f>TEXT(InputData[[#This Row],[MONTH]],"MMMMMM")</f>
        <v>May</v>
      </c>
      <c r="J271" s="3">
        <f>YEAR(InputData[[#This Row],[MONTH]])</f>
        <v>2025</v>
      </c>
      <c r="K271" s="3" t="str">
        <f>"SMT-"&amp;CHOOSE(MONTH(InputData[[#This Row],[MONTH]]),1,1,1,1,1,1,2,2,2,2,2,2)</f>
        <v>SMT-1</v>
      </c>
      <c r="L271" s="20"/>
    </row>
    <row r="272" spans="1:12">
      <c r="A272" s="4">
        <v>45778</v>
      </c>
      <c r="B272" s="3" t="s">
        <v>22</v>
      </c>
      <c r="C272" s="11">
        <f>'[15]Realisasi Hilirisasi'!E68</f>
        <v>0</v>
      </c>
      <c r="D272" s="7">
        <f>'[15]Realisasi Hilirisasi'!F68</f>
        <v>0</v>
      </c>
      <c r="E272" s="5">
        <f>'[15]Realisasi Hilirisasi'!G68</f>
        <v>0</v>
      </c>
      <c r="F272" s="51">
        <f>IFERROR((InputData[[#This Row],[GROSS PROFIT]]/InputData[[#This Row],[REVENUE]])*100%,0)</f>
        <v>0</v>
      </c>
      <c r="G272" s="3" t="str">
        <f>VLOOKUP(InputData[[#This Row],[PRODUCT ID]],Master[],2,0)</f>
        <v>Modular</v>
      </c>
      <c r="H272" s="3" t="str">
        <f>VLOOKUP(InputData[[#This Row],[PRODUCT ID]],Master[],3,0)</f>
        <v>KBK</v>
      </c>
      <c r="I272" s="3" t="str">
        <f>TEXT(InputData[[#This Row],[MONTH]],"MMMMMM")</f>
        <v>May</v>
      </c>
      <c r="J272" s="3">
        <f>YEAR(InputData[[#This Row],[MONTH]])</f>
        <v>2025</v>
      </c>
      <c r="K272" s="3" t="str">
        <f>"SMT-"&amp;CHOOSE(MONTH(InputData[[#This Row],[MONTH]]),1,1,1,1,1,1,2,2,2,2,2,2)</f>
        <v>SMT-1</v>
      </c>
      <c r="L272" s="20"/>
    </row>
    <row r="273" spans="1:12">
      <c r="A273" s="4">
        <v>45778</v>
      </c>
      <c r="B273" s="3" t="s">
        <v>11</v>
      </c>
      <c r="C273" s="11">
        <f>'[15]Realisasi Hilirisasi'!E69</f>
        <v>369.6506</v>
      </c>
      <c r="D273" s="7">
        <f>'[15]Realisasi Hilirisasi'!F69</f>
        <v>3135625600</v>
      </c>
      <c r="E273" s="5">
        <f>'[15]Realisasi Hilirisasi'!G69</f>
        <v>205693360.00000024</v>
      </c>
      <c r="F273" s="51">
        <f>IFERROR((InputData[[#This Row],[GROSS PROFIT]]/InputData[[#This Row],[REVENUE]])*100%,0)</f>
        <v>6.5598826594603712E-2</v>
      </c>
      <c r="G273" s="3" t="str">
        <f>VLOOKUP(InputData[[#This Row],[PRODUCT ID]],Master[],2,0)</f>
        <v>Steel Creative &amp; Component</v>
      </c>
      <c r="H273" s="3" t="str">
        <f>VLOOKUP(InputData[[#This Row],[PRODUCT ID]],Master[],3,0)</f>
        <v>KBK</v>
      </c>
      <c r="I273" s="3" t="str">
        <f>TEXT(InputData[[#This Row],[MONTH]],"MMMMMM")</f>
        <v>May</v>
      </c>
      <c r="J273" s="3">
        <f>YEAR(InputData[[#This Row],[MONTH]])</f>
        <v>2025</v>
      </c>
      <c r="K273" s="3" t="str">
        <f>"SMT-"&amp;CHOOSE(MONTH(InputData[[#This Row],[MONTH]]),1,1,1,1,1,1,2,2,2,2,2,2)</f>
        <v>SMT-1</v>
      </c>
      <c r="L273" s="20"/>
    </row>
    <row r="274" spans="1:12">
      <c r="A274" s="4">
        <v>45778</v>
      </c>
      <c r="B274" s="3" t="s">
        <v>24</v>
      </c>
      <c r="C274" s="11">
        <f>'[15]Realisasi Hilirisasi'!E70</f>
        <v>0</v>
      </c>
      <c r="D274" s="7">
        <f>'[15]Realisasi Hilirisasi'!F70</f>
        <v>0</v>
      </c>
      <c r="E274" s="5">
        <f>'[15]Realisasi Hilirisasi'!G70</f>
        <v>0</v>
      </c>
      <c r="F274" s="51">
        <f>IFERROR((InputData[[#This Row],[GROSS PROFIT]]/InputData[[#This Row],[REVENUE]])*100%,0)</f>
        <v>0</v>
      </c>
      <c r="G274" s="3" t="str">
        <f>VLOOKUP(InputData[[#This Row],[PRODUCT ID]],Master[],2,0)</f>
        <v>Cut to Lenght</v>
      </c>
      <c r="H274" s="3" t="str">
        <f>VLOOKUP(InputData[[#This Row],[PRODUCT ID]],Master[],3,0)</f>
        <v>KBK</v>
      </c>
      <c r="I274" s="3" t="str">
        <f>TEXT(InputData[[#This Row],[MONTH]],"MMMMMM")</f>
        <v>May</v>
      </c>
      <c r="J274" s="3">
        <f>YEAR(InputData[[#This Row],[MONTH]])</f>
        <v>2025</v>
      </c>
      <c r="K274" s="3" t="str">
        <f>"SMT-"&amp;CHOOSE(MONTH(InputData[[#This Row],[MONTH]]),1,1,1,1,1,1,2,2,2,2,2,2)</f>
        <v>SMT-1</v>
      </c>
      <c r="L274" s="20"/>
    </row>
    <row r="275" spans="1:12">
      <c r="A275" s="4">
        <v>45778</v>
      </c>
      <c r="B275" s="3" t="s">
        <v>12</v>
      </c>
      <c r="C275" s="11">
        <f>'[15]Realisasi Hilirisasi'!E71</f>
        <v>144.71799999999999</v>
      </c>
      <c r="D275" s="7">
        <f>'[15]Realisasi Hilirisasi'!F71</f>
        <v>2605579451.8181815</v>
      </c>
      <c r="E275" s="5">
        <f>'[15]Realisasi Hilirisasi'!G71</f>
        <v>36034782</v>
      </c>
      <c r="F275" s="51">
        <f>IFERROR((InputData[[#This Row],[GROSS PROFIT]]/InputData[[#This Row],[REVENUE]])*100%,0)</f>
        <v>1.3829853461138871E-2</v>
      </c>
      <c r="G275" s="3" t="str">
        <f>VLOOKUP(InputData[[#This Row],[PRODUCT ID]],Master[],2,0)</f>
        <v>Electric Pole</v>
      </c>
      <c r="H275" s="3" t="str">
        <f>VLOOKUP(InputData[[#This Row],[PRODUCT ID]],Master[],3,0)</f>
        <v>KPI</v>
      </c>
      <c r="I275" s="3" t="str">
        <f>TEXT(InputData[[#This Row],[MONTH]],"MMMMMM")</f>
        <v>May</v>
      </c>
      <c r="J275" s="3">
        <f>YEAR(InputData[[#This Row],[MONTH]])</f>
        <v>2025</v>
      </c>
      <c r="K275" s="3" t="str">
        <f>"SMT-"&amp;CHOOSE(MONTH(InputData[[#This Row],[MONTH]]),1,1,1,1,1,1,2,2,2,2,2,2)</f>
        <v>SMT-1</v>
      </c>
      <c r="L275" s="20"/>
    </row>
    <row r="276" spans="1:12">
      <c r="A276" s="4">
        <v>45778</v>
      </c>
      <c r="B276" s="3" t="s">
        <v>14</v>
      </c>
      <c r="C276" s="11">
        <f>'[15]Realisasi Hilirisasi'!E72</f>
        <v>0</v>
      </c>
      <c r="D276" s="7">
        <f>'[15]Realisasi Hilirisasi'!F72</f>
        <v>0</v>
      </c>
      <c r="E276" s="5">
        <f>'[15]Realisasi Hilirisasi'!G72</f>
        <v>0</v>
      </c>
      <c r="F276" s="51">
        <f>IFERROR((InputData[[#This Row],[GROSS PROFIT]]/InputData[[#This Row],[REVENUE]])*100%,0)</f>
        <v>0</v>
      </c>
      <c r="G276" s="3" t="str">
        <f>VLOOKUP(InputData[[#This Row],[PRODUCT ID]],Master[],2,0)</f>
        <v>Fiber Optic Pole</v>
      </c>
      <c r="H276" s="3" t="str">
        <f>VLOOKUP(InputData[[#This Row],[PRODUCT ID]],Master[],3,0)</f>
        <v>KPI</v>
      </c>
      <c r="I276" s="3" t="str">
        <f>TEXT(InputData[[#This Row],[MONTH]],"MMMMMM")</f>
        <v>May</v>
      </c>
      <c r="J276" s="3">
        <f>YEAR(InputData[[#This Row],[MONTH]])</f>
        <v>2025</v>
      </c>
      <c r="K276" s="3" t="str">
        <f>"SMT-"&amp;CHOOSE(MONTH(InputData[[#This Row],[MONTH]]),1,1,1,1,1,1,2,2,2,2,2,2)</f>
        <v>SMT-1</v>
      </c>
      <c r="L276" s="20"/>
    </row>
    <row r="277" spans="1:12">
      <c r="A277" s="4">
        <v>45778</v>
      </c>
      <c r="B277" s="3" t="s">
        <v>17</v>
      </c>
      <c r="C277" s="11">
        <f>'[15]Realisasi Hilirisasi'!E73</f>
        <v>0</v>
      </c>
      <c r="D277" s="7">
        <f>'[15]Realisasi Hilirisasi'!F73</f>
        <v>0</v>
      </c>
      <c r="E277" s="5">
        <f>'[15]Realisasi Hilirisasi'!G73</f>
        <v>0</v>
      </c>
      <c r="F277" s="51">
        <f>IFERROR((InputData[[#This Row],[GROSS PROFIT]]/InputData[[#This Row],[REVENUE]])*100%,0)</f>
        <v>0</v>
      </c>
      <c r="G277" s="3" t="str">
        <f>VLOOKUP(InputData[[#This Row],[PRODUCT ID]],Master[],2,0)</f>
        <v>Bends Pipe</v>
      </c>
      <c r="H277" s="3" t="str">
        <f>VLOOKUP(InputData[[#This Row],[PRODUCT ID]],Master[],3,0)</f>
        <v>KPI</v>
      </c>
      <c r="I277" s="3" t="str">
        <f>TEXT(InputData[[#This Row],[MONTH]],"MMMMMM")</f>
        <v>May</v>
      </c>
      <c r="J277" s="3">
        <f>YEAR(InputData[[#This Row],[MONTH]])</f>
        <v>2025</v>
      </c>
      <c r="K277" s="3" t="str">
        <f>"SMT-"&amp;CHOOSE(MONTH(InputData[[#This Row],[MONTH]]),1,1,1,1,1,1,2,2,2,2,2,2)</f>
        <v>SMT-1</v>
      </c>
      <c r="L277" s="20"/>
    </row>
    <row r="278" spans="1:12">
      <c r="A278" s="4">
        <v>45778</v>
      </c>
      <c r="B278" s="3" t="s">
        <v>16</v>
      </c>
      <c r="C278" s="11">
        <f>'[15]Realisasi Hilirisasi'!E74</f>
        <v>1494.181</v>
      </c>
      <c r="D278" s="7">
        <f>'[15]Realisasi Hilirisasi'!F74</f>
        <v>18780411873</v>
      </c>
      <c r="E278" s="5">
        <f>'[15]Realisasi Hilirisasi'!G74</f>
        <v>2594406960</v>
      </c>
      <c r="F278" s="51">
        <f>IFERROR((InputData[[#This Row],[GROSS PROFIT]]/InputData[[#This Row],[REVENUE]])*100%,0)</f>
        <v>0.13814430575560999</v>
      </c>
      <c r="G278" s="3" t="str">
        <f>VLOOKUP(InputData[[#This Row],[PRODUCT ID]],Master[],2,0)</f>
        <v>Seamless Pipe</v>
      </c>
      <c r="H278" s="3" t="str">
        <f>VLOOKUP(InputData[[#This Row],[PRODUCT ID]],Master[],3,0)</f>
        <v>KPI</v>
      </c>
      <c r="I278" s="3" t="str">
        <f>TEXT(InputData[[#This Row],[MONTH]],"MMMMMM")</f>
        <v>May</v>
      </c>
      <c r="J278" s="3">
        <f>YEAR(InputData[[#This Row],[MONTH]])</f>
        <v>2025</v>
      </c>
      <c r="K278" s="3" t="str">
        <f>"SMT-"&amp;CHOOSE(MONTH(InputData[[#This Row],[MONTH]]),1,1,1,1,1,1,2,2,2,2,2,2)</f>
        <v>SMT-1</v>
      </c>
      <c r="L278" s="20"/>
    </row>
    <row r="279" spans="1:12">
      <c r="A279" s="4">
        <v>45778</v>
      </c>
      <c r="B279" s="3" t="s">
        <v>19</v>
      </c>
      <c r="C279" s="11">
        <f>'[15]Realisasi Hilirisasi'!E75</f>
        <v>256.89910250000003</v>
      </c>
      <c r="D279" s="7">
        <f>'[15]Realisasi Hilirisasi'!F75</f>
        <v>4249173173.3239603</v>
      </c>
      <c r="E279" s="5">
        <f>'[15]Realisasi Hilirisasi'!G75</f>
        <v>62795662.65995954</v>
      </c>
      <c r="F279" s="51">
        <f>IFERROR((InputData[[#This Row],[GROSS PROFIT]]/InputData[[#This Row],[REVENUE]])*100%,0)</f>
        <v>1.4778325123152599E-2</v>
      </c>
      <c r="G279" s="3" t="str">
        <f>VLOOKUP(InputData[[#This Row],[PRODUCT ID]],Master[],2,0)</f>
        <v>Baja Ringan</v>
      </c>
      <c r="H279" s="3" t="str">
        <f>VLOOKUP(InputData[[#This Row],[PRODUCT ID]],Master[],3,0)</f>
        <v>KNI</v>
      </c>
      <c r="I279" s="3" t="str">
        <f>TEXT(InputData[[#This Row],[MONTH]],"MMMMMM")</f>
        <v>May</v>
      </c>
      <c r="J279" s="3">
        <f>YEAR(InputData[[#This Row],[MONTH]])</f>
        <v>2025</v>
      </c>
      <c r="K279" s="3" t="str">
        <f>"SMT-"&amp;CHOOSE(MONTH(InputData[[#This Row],[MONTH]]),1,1,1,1,1,1,2,2,2,2,2,2)</f>
        <v>SMT-1</v>
      </c>
      <c r="L279" s="20"/>
    </row>
    <row r="280" spans="1:12">
      <c r="A280" s="4">
        <v>45778</v>
      </c>
      <c r="B280" s="3" t="s">
        <v>75</v>
      </c>
      <c r="C280" s="11">
        <f>'[15]Realisasi Hilirisasi'!E76</f>
        <v>0</v>
      </c>
      <c r="D280" s="7">
        <f>'[15]Realisasi Hilirisasi'!F76</f>
        <v>0</v>
      </c>
      <c r="E280" s="5">
        <f>'[15]Realisasi Hilirisasi'!G76</f>
        <v>0</v>
      </c>
      <c r="F280" s="51">
        <f>IFERROR((InputData[[#This Row],[GROSS PROFIT]]/InputData[[#This Row],[REVENUE]])*100%,0)</f>
        <v>0</v>
      </c>
      <c r="G280" s="3" t="str">
        <f>VLOOKUP(InputData[[#This Row],[PRODUCT ID]],Master[],2,0)</f>
        <v>Floordeck</v>
      </c>
      <c r="H280" s="3" t="str">
        <f>VLOOKUP(InputData[[#This Row],[PRODUCT ID]],Master[],3,0)</f>
        <v>KNI</v>
      </c>
      <c r="I280" s="3" t="str">
        <f>TEXT(InputData[[#This Row],[MONTH]],"MMMMMM")</f>
        <v>May</v>
      </c>
      <c r="J280" s="3">
        <f>YEAR(InputData[[#This Row],[MONTH]])</f>
        <v>2025</v>
      </c>
      <c r="K280" s="3" t="str">
        <f>"SMT-"&amp;CHOOSE(MONTH(InputData[[#This Row],[MONTH]]),1,1,1,1,1,1,2,2,2,2,2,2)</f>
        <v>SMT-1</v>
      </c>
      <c r="L280" s="20"/>
    </row>
    <row r="281" spans="1:12">
      <c r="A281" s="4">
        <v>45778</v>
      </c>
      <c r="B281" s="3" t="s">
        <v>18</v>
      </c>
      <c r="C281" s="11">
        <f>'[15]Realisasi Hilirisasi'!E77</f>
        <v>0</v>
      </c>
      <c r="D281" s="7">
        <f>'[15]Realisasi Hilirisasi'!F77</f>
        <v>0</v>
      </c>
      <c r="E281" s="5">
        <f>'[15]Realisasi Hilirisasi'!G77</f>
        <v>0</v>
      </c>
      <c r="F281" s="51">
        <f>IFERROR((InputData[[#This Row],[GROSS PROFIT]]/InputData[[#This Row],[REVENUE]])*100%,0)</f>
        <v>0</v>
      </c>
      <c r="G281" s="3" t="str">
        <f>VLOOKUP(InputData[[#This Row],[PRODUCT ID]],Master[],2,0)</f>
        <v>Galvanized &amp; Galvalume</v>
      </c>
      <c r="H281" s="3" t="str">
        <f>VLOOKUP(InputData[[#This Row],[PRODUCT ID]],Master[],3,0)</f>
        <v>KNI</v>
      </c>
      <c r="I281" s="3" t="str">
        <f>TEXT(InputData[[#This Row],[MONTH]],"MMMMMM")</f>
        <v>May</v>
      </c>
      <c r="J281" s="3">
        <f>YEAR(InputData[[#This Row],[MONTH]])</f>
        <v>2025</v>
      </c>
      <c r="K281" s="3" t="str">
        <f>"SMT-"&amp;CHOOSE(MONTH(InputData[[#This Row],[MONTH]]),1,1,1,1,1,1,2,2,2,2,2,2)</f>
        <v>SMT-1</v>
      </c>
      <c r="L281" s="20"/>
    </row>
    <row r="282" spans="1:12">
      <c r="A282" s="4">
        <v>45778</v>
      </c>
      <c r="B282" s="3" t="s">
        <v>20</v>
      </c>
      <c r="C282" s="11">
        <f>'[15]Realisasi Hilirisasi'!E78</f>
        <v>0</v>
      </c>
      <c r="D282" s="7">
        <f>'[15]Realisasi Hilirisasi'!F78</f>
        <v>0</v>
      </c>
      <c r="E282" s="5">
        <f>'[15]Realisasi Hilirisasi'!G78</f>
        <v>0</v>
      </c>
      <c r="F282" s="51">
        <f>IFERROR((InputData[[#This Row],[GROSS PROFIT]]/InputData[[#This Row],[REVENUE]])*100%,0)</f>
        <v>0</v>
      </c>
      <c r="G282" s="3" t="str">
        <f>VLOOKUP(InputData[[#This Row],[PRODUCT ID]],Master[],2,0)</f>
        <v>CNP</v>
      </c>
      <c r="H282" s="3" t="str">
        <f>VLOOKUP(InputData[[#This Row],[PRODUCT ID]],Master[],3,0)</f>
        <v>KNI</v>
      </c>
      <c r="I282" s="3" t="str">
        <f>TEXT(InputData[[#This Row],[MONTH]],"MMMMMM")</f>
        <v>May</v>
      </c>
      <c r="J282" s="3">
        <f>YEAR(InputData[[#This Row],[MONTH]])</f>
        <v>2025</v>
      </c>
      <c r="K282" s="3" t="str">
        <f>"SMT-"&amp;CHOOSE(MONTH(InputData[[#This Row],[MONTH]]),1,1,1,1,1,1,2,2,2,2,2,2)</f>
        <v>SMT-1</v>
      </c>
      <c r="L282" s="20"/>
    </row>
    <row r="283" spans="1:12">
      <c r="A283" s="4">
        <v>45778</v>
      </c>
      <c r="B283" s="3" t="s">
        <v>23</v>
      </c>
      <c r="C283" s="11">
        <f>'[15]Realisasi Hilirisasi'!E79</f>
        <v>0</v>
      </c>
      <c r="D283" s="7">
        <f>'[15]Realisasi Hilirisasi'!F79</f>
        <v>0</v>
      </c>
      <c r="E283" s="5">
        <f>'[15]Realisasi Hilirisasi'!G79</f>
        <v>0</v>
      </c>
      <c r="F283" s="51">
        <f>IFERROR((InputData[[#This Row],[GROSS PROFIT]]/InputData[[#This Row],[REVENUE]])*100%,0)</f>
        <v>0</v>
      </c>
      <c r="G283" s="3" t="str">
        <f>VLOOKUP(InputData[[#This Row],[PRODUCT ID]],Master[],2,0)</f>
        <v>Other Product</v>
      </c>
      <c r="H283" s="3" t="str">
        <f>VLOOKUP(InputData[[#This Row],[PRODUCT ID]],Master[],3,0)</f>
        <v>KNI</v>
      </c>
      <c r="I283" s="3" t="str">
        <f>TEXT(InputData[[#This Row],[MONTH]],"MMMMMM")</f>
        <v>May</v>
      </c>
      <c r="J283" s="3">
        <f>YEAR(InputData[[#This Row],[MONTH]])</f>
        <v>2025</v>
      </c>
      <c r="K283" s="3" t="str">
        <f>"SMT-"&amp;CHOOSE(MONTH(InputData[[#This Row],[MONTH]]),1,1,1,1,1,1,2,2,2,2,2,2)</f>
        <v>SMT-1</v>
      </c>
      <c r="L283" s="20"/>
    </row>
    <row r="284" spans="1:12">
      <c r="A284" s="4">
        <v>45778</v>
      </c>
      <c r="B284" s="3" t="s">
        <v>21</v>
      </c>
      <c r="C284" s="11">
        <f>'[15]Realisasi Hilirisasi'!E80</f>
        <v>0</v>
      </c>
      <c r="D284" s="7">
        <f>'[15]Realisasi Hilirisasi'!F80</f>
        <v>0</v>
      </c>
      <c r="E284" s="5">
        <f>'[15]Realisasi Hilirisasi'!G80</f>
        <v>0</v>
      </c>
      <c r="F284" s="51">
        <f>IFERROR((InputData[[#This Row],[GROSS PROFIT]]/InputData[[#This Row],[REVENUE]])*100%,0)</f>
        <v>0</v>
      </c>
      <c r="G284" s="3" t="str">
        <f>VLOOKUP(InputData[[#This Row],[PRODUCT ID]],Master[],2,0)</f>
        <v>Welded Beam</v>
      </c>
      <c r="H284" s="3" t="str">
        <f>VLOOKUP(InputData[[#This Row],[PRODUCT ID]],Master[],3,0)</f>
        <v>KPdP</v>
      </c>
      <c r="I284" s="3" t="str">
        <f>TEXT(InputData[[#This Row],[MONTH]],"MMMMMM")</f>
        <v>May</v>
      </c>
      <c r="J284" s="3">
        <f>YEAR(InputData[[#This Row],[MONTH]])</f>
        <v>2025</v>
      </c>
      <c r="K284" s="3" t="str">
        <f>"SMT-"&amp;CHOOSE(MONTH(InputData[[#This Row],[MONTH]]),1,1,1,1,1,1,2,2,2,2,2,2)</f>
        <v>SMT-1</v>
      </c>
      <c r="L284" s="20"/>
    </row>
    <row r="285" spans="1:12">
      <c r="A285" s="4">
        <v>45809</v>
      </c>
      <c r="B285" s="3" t="s">
        <v>4</v>
      </c>
      <c r="C285" s="11">
        <f>'[15]Realisasi Hilirisasi'!E81</f>
        <v>0</v>
      </c>
      <c r="D285" s="7">
        <f>'[15]Realisasi Hilirisasi'!F81</f>
        <v>0</v>
      </c>
      <c r="E285" s="5">
        <f>'[15]Realisasi Hilirisasi'!G81</f>
        <v>0</v>
      </c>
      <c r="F285" s="51">
        <f>IFERROR((InputData[[#This Row],[GROSS PROFIT]]/InputData[[#This Row],[REVENUE]])*100%,0)</f>
        <v>0</v>
      </c>
      <c r="G285" s="3" t="str">
        <f>VLOOKUP(InputData[[#This Row],[PRODUCT ID]],Master[],2,0)</f>
        <v>Tower</v>
      </c>
      <c r="H285" s="3" t="str">
        <f>VLOOKUP(InputData[[#This Row],[PRODUCT ID]],Master[],3,0)</f>
        <v>KBK</v>
      </c>
      <c r="I285" s="3" t="str">
        <f>TEXT(InputData[[#This Row],[MONTH]],"MMMMMM")</f>
        <v>June</v>
      </c>
      <c r="J285" s="3">
        <f>YEAR(InputData[[#This Row],[MONTH]])</f>
        <v>2025</v>
      </c>
      <c r="K285" s="3" t="str">
        <f>"SMT-"&amp;CHOOSE(MONTH(InputData[[#This Row],[MONTH]]),1,1,1,1,1,1,2,2,2,2,2,2)</f>
        <v>SMT-1</v>
      </c>
      <c r="L285" s="20"/>
    </row>
    <row r="286" spans="1:12">
      <c r="A286" s="4">
        <v>45809</v>
      </c>
      <c r="B286" s="3" t="s">
        <v>9</v>
      </c>
      <c r="C286" s="11">
        <f>'[15]Realisasi Hilirisasi'!E82</f>
        <v>-90.577072725000022</v>
      </c>
      <c r="D286" s="7">
        <f>'[15]Realisasi Hilirisasi'!F82</f>
        <v>-2536158036.2999992</v>
      </c>
      <c r="E286" s="5">
        <f>'[15]Realisasi Hilirisasi'!G82</f>
        <v>-211107643.23500058</v>
      </c>
      <c r="F286" s="51">
        <f>IFERROR((InputData[[#This Row],[GROSS PROFIT]]/InputData[[#This Row],[REVENUE]])*100%,0)</f>
        <v>8.3239151588118496E-2</v>
      </c>
      <c r="G286" s="3" t="str">
        <f>VLOOKUP(InputData[[#This Row],[PRODUCT ID]],Master[],2,0)</f>
        <v>Steel Structure</v>
      </c>
      <c r="H286" s="3" t="str">
        <f>VLOOKUP(InputData[[#This Row],[PRODUCT ID]],Master[],3,0)</f>
        <v>KBK</v>
      </c>
      <c r="I286" s="3" t="str">
        <f>TEXT(InputData[[#This Row],[MONTH]],"MMMMMM")</f>
        <v>June</v>
      </c>
      <c r="J286" s="3">
        <f>YEAR(InputData[[#This Row],[MONTH]])</f>
        <v>2025</v>
      </c>
      <c r="K286" s="3" t="str">
        <f>"SMT-"&amp;CHOOSE(MONTH(InputData[[#This Row],[MONTH]]),1,1,1,1,1,1,2,2,2,2,2,2)</f>
        <v>SMT-1</v>
      </c>
      <c r="L286" s="20"/>
    </row>
    <row r="287" spans="1:12">
      <c r="A287" s="4">
        <v>45809</v>
      </c>
      <c r="B287" s="3" t="s">
        <v>22</v>
      </c>
      <c r="C287" s="11">
        <f>'[15]Realisasi Hilirisasi'!E83</f>
        <v>0</v>
      </c>
      <c r="D287" s="7">
        <f>'[15]Realisasi Hilirisasi'!F83</f>
        <v>0</v>
      </c>
      <c r="E287" s="5">
        <f>'[15]Realisasi Hilirisasi'!G83</f>
        <v>0</v>
      </c>
      <c r="F287" s="51">
        <f>IFERROR((InputData[[#This Row],[GROSS PROFIT]]/InputData[[#This Row],[REVENUE]])*100%,0)</f>
        <v>0</v>
      </c>
      <c r="G287" s="3" t="str">
        <f>VLOOKUP(InputData[[#This Row],[PRODUCT ID]],Master[],2,0)</f>
        <v>Modular</v>
      </c>
      <c r="H287" s="3" t="str">
        <f>VLOOKUP(InputData[[#This Row],[PRODUCT ID]],Master[],3,0)</f>
        <v>KBK</v>
      </c>
      <c r="I287" s="3" t="str">
        <f>TEXT(InputData[[#This Row],[MONTH]],"MMMMMM")</f>
        <v>June</v>
      </c>
      <c r="J287" s="3">
        <f>YEAR(InputData[[#This Row],[MONTH]])</f>
        <v>2025</v>
      </c>
      <c r="K287" s="3" t="str">
        <f>"SMT-"&amp;CHOOSE(MONTH(InputData[[#This Row],[MONTH]]),1,1,1,1,1,1,2,2,2,2,2,2)</f>
        <v>SMT-1</v>
      </c>
      <c r="L287" s="20"/>
    </row>
    <row r="288" spans="1:12">
      <c r="A288" s="4">
        <v>45809</v>
      </c>
      <c r="B288" s="3" t="s">
        <v>11</v>
      </c>
      <c r="C288" s="11">
        <f>'[15]Realisasi Hilirisasi'!E84</f>
        <v>16.5624</v>
      </c>
      <c r="D288" s="7">
        <f>'[15]Realisasi Hilirisasi'!F84</f>
        <v>291067960</v>
      </c>
      <c r="E288" s="5">
        <f>'[15]Realisasi Hilirisasi'!G84</f>
        <v>183704400</v>
      </c>
      <c r="F288" s="51">
        <f>IFERROR((InputData[[#This Row],[GROSS PROFIT]]/InputData[[#This Row],[REVENUE]])*100%,0)</f>
        <v>0.6311392019925518</v>
      </c>
      <c r="G288" s="3" t="str">
        <f>VLOOKUP(InputData[[#This Row],[PRODUCT ID]],Master[],2,0)</f>
        <v>Steel Creative &amp; Component</v>
      </c>
      <c r="H288" s="3" t="str">
        <f>VLOOKUP(InputData[[#This Row],[PRODUCT ID]],Master[],3,0)</f>
        <v>KBK</v>
      </c>
      <c r="I288" s="3" t="str">
        <f>TEXT(InputData[[#This Row],[MONTH]],"MMMMMM")</f>
        <v>June</v>
      </c>
      <c r="J288" s="3">
        <f>YEAR(InputData[[#This Row],[MONTH]])</f>
        <v>2025</v>
      </c>
      <c r="K288" s="3" t="str">
        <f>"SMT-"&amp;CHOOSE(MONTH(InputData[[#This Row],[MONTH]]),1,1,1,1,1,1,2,2,2,2,2,2)</f>
        <v>SMT-1</v>
      </c>
      <c r="L288" s="20"/>
    </row>
    <row r="289" spans="1:12">
      <c r="A289" s="4">
        <v>45809</v>
      </c>
      <c r="B289" s="3" t="s">
        <v>24</v>
      </c>
      <c r="C289" s="11">
        <f>'[15]Realisasi Hilirisasi'!E85</f>
        <v>0</v>
      </c>
      <c r="D289" s="7">
        <f>'[15]Realisasi Hilirisasi'!F85</f>
        <v>0</v>
      </c>
      <c r="E289" s="5">
        <f>'[15]Realisasi Hilirisasi'!G85</f>
        <v>0</v>
      </c>
      <c r="F289" s="51">
        <f>IFERROR((InputData[[#This Row],[GROSS PROFIT]]/InputData[[#This Row],[REVENUE]])*100%,0)</f>
        <v>0</v>
      </c>
      <c r="G289" s="3" t="str">
        <f>VLOOKUP(InputData[[#This Row],[PRODUCT ID]],Master[],2,0)</f>
        <v>Cut to Lenght</v>
      </c>
      <c r="H289" s="3" t="str">
        <f>VLOOKUP(InputData[[#This Row],[PRODUCT ID]],Master[],3,0)</f>
        <v>KBK</v>
      </c>
      <c r="I289" s="3" t="str">
        <f>TEXT(InputData[[#This Row],[MONTH]],"MMMMMM")</f>
        <v>June</v>
      </c>
      <c r="J289" s="3">
        <f>YEAR(InputData[[#This Row],[MONTH]])</f>
        <v>2025</v>
      </c>
      <c r="K289" s="3" t="str">
        <f>"SMT-"&amp;CHOOSE(MONTH(InputData[[#This Row],[MONTH]]),1,1,1,1,1,1,2,2,2,2,2,2)</f>
        <v>SMT-1</v>
      </c>
      <c r="L289" s="20"/>
    </row>
    <row r="290" spans="1:12">
      <c r="A290" s="4">
        <v>45809</v>
      </c>
      <c r="B290" s="3" t="s">
        <v>12</v>
      </c>
      <c r="C290" s="11">
        <f>'[15]Realisasi Hilirisasi'!E86</f>
        <v>362.84199999999998</v>
      </c>
      <c r="D290" s="7">
        <f>'[15]Realisasi Hilirisasi'!F86</f>
        <v>6498272224.545454</v>
      </c>
      <c r="E290" s="5">
        <f>'[15]Realisasi Hilirisasi'!G86</f>
        <v>90347658</v>
      </c>
      <c r="F290" s="51">
        <f>IFERROR((InputData[[#This Row],[GROSS PROFIT]]/InputData[[#This Row],[REVENUE]])*100%,0)</f>
        <v>1.3903335360241808E-2</v>
      </c>
      <c r="G290" s="3" t="str">
        <f>VLOOKUP(InputData[[#This Row],[PRODUCT ID]],Master[],2,0)</f>
        <v>Electric Pole</v>
      </c>
      <c r="H290" s="3" t="str">
        <f>VLOOKUP(InputData[[#This Row],[PRODUCT ID]],Master[],3,0)</f>
        <v>KPI</v>
      </c>
      <c r="I290" s="3" t="str">
        <f>TEXT(InputData[[#This Row],[MONTH]],"MMMMMM")</f>
        <v>June</v>
      </c>
      <c r="J290" s="3">
        <f>YEAR(InputData[[#This Row],[MONTH]])</f>
        <v>2025</v>
      </c>
      <c r="K290" s="3" t="str">
        <f>"SMT-"&amp;CHOOSE(MONTH(InputData[[#This Row],[MONTH]]),1,1,1,1,1,1,2,2,2,2,2,2)</f>
        <v>SMT-1</v>
      </c>
      <c r="L290" s="20"/>
    </row>
    <row r="291" spans="1:12">
      <c r="A291" s="4">
        <v>45809</v>
      </c>
      <c r="B291" s="3" t="s">
        <v>14</v>
      </c>
      <c r="C291" s="11">
        <f>'[15]Realisasi Hilirisasi'!E87</f>
        <v>0</v>
      </c>
      <c r="D291" s="7">
        <f>'[15]Realisasi Hilirisasi'!F87</f>
        <v>0</v>
      </c>
      <c r="E291" s="5">
        <f>'[15]Realisasi Hilirisasi'!G87</f>
        <v>0</v>
      </c>
      <c r="F291" s="51">
        <f>IFERROR((InputData[[#This Row],[GROSS PROFIT]]/InputData[[#This Row],[REVENUE]])*100%,0)</f>
        <v>0</v>
      </c>
      <c r="G291" s="3" t="str">
        <f>VLOOKUP(InputData[[#This Row],[PRODUCT ID]],Master[],2,0)</f>
        <v>Fiber Optic Pole</v>
      </c>
      <c r="H291" s="3" t="str">
        <f>VLOOKUP(InputData[[#This Row],[PRODUCT ID]],Master[],3,0)</f>
        <v>KPI</v>
      </c>
      <c r="I291" s="3" t="str">
        <f>TEXT(InputData[[#This Row],[MONTH]],"MMMMMM")</f>
        <v>June</v>
      </c>
      <c r="J291" s="3">
        <f>YEAR(InputData[[#This Row],[MONTH]])</f>
        <v>2025</v>
      </c>
      <c r="K291" s="3" t="str">
        <f>"SMT-"&amp;CHOOSE(MONTH(InputData[[#This Row],[MONTH]]),1,1,1,1,1,1,2,2,2,2,2,2)</f>
        <v>SMT-1</v>
      </c>
      <c r="L291" s="20"/>
    </row>
    <row r="292" spans="1:12">
      <c r="A292" s="4">
        <v>45809</v>
      </c>
      <c r="B292" s="3" t="s">
        <v>17</v>
      </c>
      <c r="C292" s="11">
        <f>'[15]Realisasi Hilirisasi'!E88</f>
        <v>0</v>
      </c>
      <c r="D292" s="7">
        <f>'[15]Realisasi Hilirisasi'!F88</f>
        <v>0</v>
      </c>
      <c r="E292" s="5">
        <f>'[15]Realisasi Hilirisasi'!G88</f>
        <v>0</v>
      </c>
      <c r="F292" s="51">
        <f>IFERROR((InputData[[#This Row],[GROSS PROFIT]]/InputData[[#This Row],[REVENUE]])*100%,0)</f>
        <v>0</v>
      </c>
      <c r="G292" s="3" t="str">
        <f>VLOOKUP(InputData[[#This Row],[PRODUCT ID]],Master[],2,0)</f>
        <v>Bends Pipe</v>
      </c>
      <c r="H292" s="3" t="str">
        <f>VLOOKUP(InputData[[#This Row],[PRODUCT ID]],Master[],3,0)</f>
        <v>KPI</v>
      </c>
      <c r="I292" s="3" t="str">
        <f>TEXT(InputData[[#This Row],[MONTH]],"MMMMMM")</f>
        <v>June</v>
      </c>
      <c r="J292" s="3">
        <f>YEAR(InputData[[#This Row],[MONTH]])</f>
        <v>2025</v>
      </c>
      <c r="K292" s="3" t="str">
        <f>"SMT-"&amp;CHOOSE(MONTH(InputData[[#This Row],[MONTH]]),1,1,1,1,1,1,2,2,2,2,2,2)</f>
        <v>SMT-1</v>
      </c>
      <c r="L292" s="20"/>
    </row>
    <row r="293" spans="1:12">
      <c r="A293" s="4">
        <v>45809</v>
      </c>
      <c r="B293" s="3" t="s">
        <v>16</v>
      </c>
      <c r="C293" s="11">
        <f>'[15]Realisasi Hilirisasi'!E89</f>
        <v>501.43200000000002</v>
      </c>
      <c r="D293" s="7">
        <f>'[15]Realisasi Hilirisasi'!F89</f>
        <v>5337262476</v>
      </c>
      <c r="E293" s="5">
        <f>'[15]Realisasi Hilirisasi'!G89</f>
        <v>200572800</v>
      </c>
      <c r="F293" s="51">
        <f>IFERROR((InputData[[#This Row],[GROSS PROFIT]]/InputData[[#This Row],[REVENUE]])*100%,0)</f>
        <v>3.7579714488825154E-2</v>
      </c>
      <c r="G293" s="3" t="str">
        <f>VLOOKUP(InputData[[#This Row],[PRODUCT ID]],Master[],2,0)</f>
        <v>Seamless Pipe</v>
      </c>
      <c r="H293" s="3" t="str">
        <f>VLOOKUP(InputData[[#This Row],[PRODUCT ID]],Master[],3,0)</f>
        <v>KPI</v>
      </c>
      <c r="I293" s="3" t="str">
        <f>TEXT(InputData[[#This Row],[MONTH]],"MMMMMM")</f>
        <v>June</v>
      </c>
      <c r="J293" s="3">
        <f>YEAR(InputData[[#This Row],[MONTH]])</f>
        <v>2025</v>
      </c>
      <c r="K293" s="3" t="str">
        <f>"SMT-"&amp;CHOOSE(MONTH(InputData[[#This Row],[MONTH]]),1,1,1,1,1,1,2,2,2,2,2,2)</f>
        <v>SMT-1</v>
      </c>
      <c r="L293" s="20"/>
    </row>
    <row r="294" spans="1:12">
      <c r="A294" s="4">
        <v>45809</v>
      </c>
      <c r="B294" s="3" t="s">
        <v>19</v>
      </c>
      <c r="C294" s="11">
        <f>'[15]Realisasi Hilirisasi'!E90</f>
        <v>246.90428538022971</v>
      </c>
      <c r="D294" s="7">
        <f>'[15]Realisasi Hilirisasi'!F90</f>
        <v>4106649798.1878486</v>
      </c>
      <c r="E294" s="5">
        <f>'[15]Realisasi Hilirisasi'!G90</f>
        <v>60689405.884549074</v>
      </c>
      <c r="F294" s="51">
        <f>IFERROR((InputData[[#This Row],[GROSS PROFIT]]/InputData[[#This Row],[REVENUE]])*100%,0)</f>
        <v>1.477832512315261E-2</v>
      </c>
      <c r="G294" s="3" t="str">
        <f>VLOOKUP(InputData[[#This Row],[PRODUCT ID]],Master[],2,0)</f>
        <v>Baja Ringan</v>
      </c>
      <c r="H294" s="3" t="str">
        <f>VLOOKUP(InputData[[#This Row],[PRODUCT ID]],Master[],3,0)</f>
        <v>KNI</v>
      </c>
      <c r="I294" s="3" t="str">
        <f>TEXT(InputData[[#This Row],[MONTH]],"MMMMMM")</f>
        <v>June</v>
      </c>
      <c r="J294" s="3">
        <f>YEAR(InputData[[#This Row],[MONTH]])</f>
        <v>2025</v>
      </c>
      <c r="K294" s="3" t="str">
        <f>"SMT-"&amp;CHOOSE(MONTH(InputData[[#This Row],[MONTH]]),1,1,1,1,1,1,2,2,2,2,2,2)</f>
        <v>SMT-1</v>
      </c>
      <c r="L294" s="20"/>
    </row>
    <row r="295" spans="1:12">
      <c r="A295" s="4">
        <v>45809</v>
      </c>
      <c r="B295" s="3" t="s">
        <v>75</v>
      </c>
      <c r="C295" s="11">
        <f>'[15]Realisasi Hilirisasi'!E91</f>
        <v>0</v>
      </c>
      <c r="D295" s="7">
        <f>'[15]Realisasi Hilirisasi'!F91</f>
        <v>0</v>
      </c>
      <c r="E295" s="5">
        <f>'[15]Realisasi Hilirisasi'!G91</f>
        <v>0</v>
      </c>
      <c r="F295" s="51">
        <f>IFERROR((InputData[[#This Row],[GROSS PROFIT]]/InputData[[#This Row],[REVENUE]])*100%,0)</f>
        <v>0</v>
      </c>
      <c r="G295" s="3" t="str">
        <f>VLOOKUP(InputData[[#This Row],[PRODUCT ID]],Master[],2,0)</f>
        <v>Floordeck</v>
      </c>
      <c r="H295" s="3" t="str">
        <f>VLOOKUP(InputData[[#This Row],[PRODUCT ID]],Master[],3,0)</f>
        <v>KNI</v>
      </c>
      <c r="I295" s="3" t="str">
        <f>TEXT(InputData[[#This Row],[MONTH]],"MMMMMM")</f>
        <v>June</v>
      </c>
      <c r="J295" s="3">
        <f>YEAR(InputData[[#This Row],[MONTH]])</f>
        <v>2025</v>
      </c>
      <c r="K295" s="3" t="str">
        <f>"SMT-"&amp;CHOOSE(MONTH(InputData[[#This Row],[MONTH]]),1,1,1,1,1,1,2,2,2,2,2,2)</f>
        <v>SMT-1</v>
      </c>
      <c r="L295" s="20"/>
    </row>
    <row r="296" spans="1:12">
      <c r="A296" s="4">
        <v>45809</v>
      </c>
      <c r="B296" s="3" t="s">
        <v>18</v>
      </c>
      <c r="C296" s="11">
        <f>'[15]Realisasi Hilirisasi'!E92</f>
        <v>0</v>
      </c>
      <c r="D296" s="7">
        <f>'[15]Realisasi Hilirisasi'!F92</f>
        <v>0</v>
      </c>
      <c r="E296" s="5">
        <f>'[15]Realisasi Hilirisasi'!G92</f>
        <v>0</v>
      </c>
      <c r="F296" s="51">
        <f>IFERROR((InputData[[#This Row],[GROSS PROFIT]]/InputData[[#This Row],[REVENUE]])*100%,0)</f>
        <v>0</v>
      </c>
      <c r="G296" s="3" t="str">
        <f>VLOOKUP(InputData[[#This Row],[PRODUCT ID]],Master[],2,0)</f>
        <v>Galvanized &amp; Galvalume</v>
      </c>
      <c r="H296" s="3" t="str">
        <f>VLOOKUP(InputData[[#This Row],[PRODUCT ID]],Master[],3,0)</f>
        <v>KNI</v>
      </c>
      <c r="I296" s="3" t="str">
        <f>TEXT(InputData[[#This Row],[MONTH]],"MMMMMM")</f>
        <v>June</v>
      </c>
      <c r="J296" s="3">
        <f>YEAR(InputData[[#This Row],[MONTH]])</f>
        <v>2025</v>
      </c>
      <c r="K296" s="3" t="str">
        <f>"SMT-"&amp;CHOOSE(MONTH(InputData[[#This Row],[MONTH]]),1,1,1,1,1,1,2,2,2,2,2,2)</f>
        <v>SMT-1</v>
      </c>
      <c r="L296" s="20"/>
    </row>
    <row r="297" spans="1:12">
      <c r="A297" s="4">
        <v>45809</v>
      </c>
      <c r="B297" s="3" t="s">
        <v>20</v>
      </c>
      <c r="C297" s="11">
        <f>'[15]Realisasi Hilirisasi'!E93</f>
        <v>0</v>
      </c>
      <c r="D297" s="7">
        <f>'[15]Realisasi Hilirisasi'!F93</f>
        <v>0</v>
      </c>
      <c r="E297" s="5">
        <f>'[15]Realisasi Hilirisasi'!G93</f>
        <v>0</v>
      </c>
      <c r="F297" s="51">
        <f>IFERROR((InputData[[#This Row],[GROSS PROFIT]]/InputData[[#This Row],[REVENUE]])*100%,0)</f>
        <v>0</v>
      </c>
      <c r="G297" s="3" t="str">
        <f>VLOOKUP(InputData[[#This Row],[PRODUCT ID]],Master[],2,0)</f>
        <v>CNP</v>
      </c>
      <c r="H297" s="3" t="str">
        <f>VLOOKUP(InputData[[#This Row],[PRODUCT ID]],Master[],3,0)</f>
        <v>KNI</v>
      </c>
      <c r="I297" s="3" t="str">
        <f>TEXT(InputData[[#This Row],[MONTH]],"MMMMMM")</f>
        <v>June</v>
      </c>
      <c r="J297" s="3">
        <f>YEAR(InputData[[#This Row],[MONTH]])</f>
        <v>2025</v>
      </c>
      <c r="K297" s="3" t="str">
        <f>"SMT-"&amp;CHOOSE(MONTH(InputData[[#This Row],[MONTH]]),1,1,1,1,1,1,2,2,2,2,2,2)</f>
        <v>SMT-1</v>
      </c>
      <c r="L297" s="20"/>
    </row>
    <row r="298" spans="1:12">
      <c r="A298" s="4">
        <v>45809</v>
      </c>
      <c r="B298" s="3" t="s">
        <v>23</v>
      </c>
      <c r="C298" s="11">
        <f>'[15]Realisasi Hilirisasi'!E94</f>
        <v>0</v>
      </c>
      <c r="D298" s="7">
        <f>'[15]Realisasi Hilirisasi'!F94</f>
        <v>0</v>
      </c>
      <c r="E298" s="5">
        <f>'[15]Realisasi Hilirisasi'!G94</f>
        <v>0</v>
      </c>
      <c r="F298" s="51">
        <f>IFERROR((InputData[[#This Row],[GROSS PROFIT]]/InputData[[#This Row],[REVENUE]])*100%,0)</f>
        <v>0</v>
      </c>
      <c r="G298" s="3" t="str">
        <f>VLOOKUP(InputData[[#This Row],[PRODUCT ID]],Master[],2,0)</f>
        <v>Other Product</v>
      </c>
      <c r="H298" s="3" t="str">
        <f>VLOOKUP(InputData[[#This Row],[PRODUCT ID]],Master[],3,0)</f>
        <v>KNI</v>
      </c>
      <c r="I298" s="3" t="str">
        <f>TEXT(InputData[[#This Row],[MONTH]],"MMMMMM")</f>
        <v>June</v>
      </c>
      <c r="J298" s="3">
        <f>YEAR(InputData[[#This Row],[MONTH]])</f>
        <v>2025</v>
      </c>
      <c r="K298" s="3" t="str">
        <f>"SMT-"&amp;CHOOSE(MONTH(InputData[[#This Row],[MONTH]]),1,1,1,1,1,1,2,2,2,2,2,2)</f>
        <v>SMT-1</v>
      </c>
      <c r="L298" s="20"/>
    </row>
    <row r="299" spans="1:12">
      <c r="A299" s="4">
        <v>45809</v>
      </c>
      <c r="B299" s="3" t="s">
        <v>21</v>
      </c>
      <c r="C299" s="11">
        <f>'[15]Realisasi Hilirisasi'!E95</f>
        <v>0</v>
      </c>
      <c r="D299" s="7">
        <f>'[15]Realisasi Hilirisasi'!F95</f>
        <v>0</v>
      </c>
      <c r="E299" s="5">
        <f>'[15]Realisasi Hilirisasi'!G95</f>
        <v>0</v>
      </c>
      <c r="F299" s="51">
        <f>IFERROR((InputData[[#This Row],[GROSS PROFIT]]/InputData[[#This Row],[REVENUE]])*100%,0)</f>
        <v>0</v>
      </c>
      <c r="G299" s="3" t="str">
        <f>VLOOKUP(InputData[[#This Row],[PRODUCT ID]],Master[],2,0)</f>
        <v>Welded Beam</v>
      </c>
      <c r="H299" s="3" t="str">
        <f>VLOOKUP(InputData[[#This Row],[PRODUCT ID]],Master[],3,0)</f>
        <v>KPdP</v>
      </c>
      <c r="I299" s="3" t="str">
        <f>TEXT(InputData[[#This Row],[MONTH]],"MMMMMM")</f>
        <v>June</v>
      </c>
      <c r="J299" s="3">
        <f>YEAR(InputData[[#This Row],[MONTH]])</f>
        <v>2025</v>
      </c>
      <c r="K299" s="3" t="str">
        <f>"SMT-"&amp;CHOOSE(MONTH(InputData[[#This Row],[MONTH]]),1,1,1,1,1,1,2,2,2,2,2,2)</f>
        <v>SMT-1</v>
      </c>
      <c r="L299" s="20"/>
    </row>
    <row r="300" spans="1:12">
      <c r="A300" s="4">
        <v>45839</v>
      </c>
      <c r="B300" s="3" t="s">
        <v>4</v>
      </c>
      <c r="C300" s="11">
        <f>'[15]Realisasi Hilirisasi'!E96</f>
        <v>0</v>
      </c>
      <c r="D300" s="7">
        <f>'[15]Realisasi Hilirisasi'!F96</f>
        <v>0</v>
      </c>
      <c r="E300" s="5">
        <f>'[15]Realisasi Hilirisasi'!G96</f>
        <v>0</v>
      </c>
      <c r="F300" s="51">
        <f>IFERROR((InputData[[#This Row],[GROSS PROFIT]]/InputData[[#This Row],[REVENUE]])*100%,0)</f>
        <v>0</v>
      </c>
      <c r="G300" s="3" t="str">
        <f>VLOOKUP(InputData[[#This Row],[PRODUCT ID]],Master[],2,0)</f>
        <v>Tower</v>
      </c>
      <c r="H300" s="3" t="str">
        <f>VLOOKUP(InputData[[#This Row],[PRODUCT ID]],Master[],3,0)</f>
        <v>KBK</v>
      </c>
      <c r="I300" s="3" t="str">
        <f>TEXT(InputData[[#This Row],[MONTH]],"MMMMMM")</f>
        <v>July</v>
      </c>
      <c r="J300" s="3">
        <f>YEAR(InputData[[#This Row],[MONTH]])</f>
        <v>2025</v>
      </c>
      <c r="K300" s="3" t="str">
        <f>"SMT-"&amp;CHOOSE(MONTH(InputData[[#This Row],[MONTH]]),1,1,1,1,1,1,2,2,2,2,2,2)</f>
        <v>SMT-2</v>
      </c>
      <c r="L300" s="20"/>
    </row>
    <row r="301" spans="1:12">
      <c r="A301" s="4">
        <v>45839</v>
      </c>
      <c r="B301" s="3" t="s">
        <v>9</v>
      </c>
      <c r="C301" s="11">
        <f>'[15]Realisasi Hilirisasi'!E97</f>
        <v>143.38989114285715</v>
      </c>
      <c r="D301" s="7">
        <f>'[15]Realisasi Hilirisasi'!F97</f>
        <v>5078871190</v>
      </c>
      <c r="E301" s="5">
        <f>'[15]Realisasi Hilirisasi'!G97</f>
        <v>20287500</v>
      </c>
      <c r="F301" s="51">
        <f>IFERROR((InputData[[#This Row],[GROSS PROFIT]]/InputData[[#This Row],[REVENUE]])*100%,0)</f>
        <v>3.9944899646096356E-3</v>
      </c>
      <c r="G301" s="3" t="str">
        <f>VLOOKUP(InputData[[#This Row],[PRODUCT ID]],Master[],2,0)</f>
        <v>Steel Structure</v>
      </c>
      <c r="H301" s="3" t="str">
        <f>VLOOKUP(InputData[[#This Row],[PRODUCT ID]],Master[],3,0)</f>
        <v>KBK</v>
      </c>
      <c r="I301" s="3" t="str">
        <f>TEXT(InputData[[#This Row],[MONTH]],"MMMMMM")</f>
        <v>July</v>
      </c>
      <c r="J301" s="3">
        <f>YEAR(InputData[[#This Row],[MONTH]])</f>
        <v>2025</v>
      </c>
      <c r="K301" s="3" t="str">
        <f>"SMT-"&amp;CHOOSE(MONTH(InputData[[#This Row],[MONTH]]),1,1,1,1,1,1,2,2,2,2,2,2)</f>
        <v>SMT-2</v>
      </c>
      <c r="L301" s="20"/>
    </row>
    <row r="302" spans="1:12">
      <c r="A302" s="4">
        <v>45839</v>
      </c>
      <c r="B302" s="3" t="s">
        <v>22</v>
      </c>
      <c r="C302" s="11">
        <f>'[15]Realisasi Hilirisasi'!E98</f>
        <v>0</v>
      </c>
      <c r="D302" s="7">
        <f>'[15]Realisasi Hilirisasi'!F98</f>
        <v>0</v>
      </c>
      <c r="E302" s="5">
        <f>'[15]Realisasi Hilirisasi'!G98</f>
        <v>0</v>
      </c>
      <c r="F302" s="51">
        <f>IFERROR((InputData[[#This Row],[GROSS PROFIT]]/InputData[[#This Row],[REVENUE]])*100%,0)</f>
        <v>0</v>
      </c>
      <c r="G302" s="3" t="str">
        <f>VLOOKUP(InputData[[#This Row],[PRODUCT ID]],Master[],2,0)</f>
        <v>Modular</v>
      </c>
      <c r="H302" s="3" t="str">
        <f>VLOOKUP(InputData[[#This Row],[PRODUCT ID]],Master[],3,0)</f>
        <v>KBK</v>
      </c>
      <c r="I302" s="3" t="str">
        <f>TEXT(InputData[[#This Row],[MONTH]],"MMMMMM")</f>
        <v>July</v>
      </c>
      <c r="J302" s="3">
        <f>YEAR(InputData[[#This Row],[MONTH]])</f>
        <v>2025</v>
      </c>
      <c r="K302" s="3" t="str">
        <f>"SMT-"&amp;CHOOSE(MONTH(InputData[[#This Row],[MONTH]]),1,1,1,1,1,1,2,2,2,2,2,2)</f>
        <v>SMT-2</v>
      </c>
      <c r="L302" s="20"/>
    </row>
    <row r="303" spans="1:12">
      <c r="A303" s="4">
        <v>45839</v>
      </c>
      <c r="B303" s="3" t="s">
        <v>11</v>
      </c>
      <c r="C303" s="11">
        <f>'[15]Realisasi Hilirisasi'!E99</f>
        <v>263.46837799999986</v>
      </c>
      <c r="D303" s="7">
        <f>'[15]Realisasi Hilirisasi'!F99</f>
        <v>2314560686.7012987</v>
      </c>
      <c r="E303" s="5">
        <f>'[15]Realisasi Hilirisasi'!G99</f>
        <v>-291266995.29869914</v>
      </c>
      <c r="F303" s="51">
        <f>IFERROR((InputData[[#This Row],[GROSS PROFIT]]/InputData[[#This Row],[REVENUE]])*100%,0)</f>
        <v>-0.12584115723222256</v>
      </c>
      <c r="G303" s="3" t="str">
        <f>VLOOKUP(InputData[[#This Row],[PRODUCT ID]],Master[],2,0)</f>
        <v>Steel Creative &amp; Component</v>
      </c>
      <c r="H303" s="3" t="str">
        <f>VLOOKUP(InputData[[#This Row],[PRODUCT ID]],Master[],3,0)</f>
        <v>KBK</v>
      </c>
      <c r="I303" s="3" t="str">
        <f>TEXT(InputData[[#This Row],[MONTH]],"MMMMMM")</f>
        <v>July</v>
      </c>
      <c r="J303" s="3">
        <f>YEAR(InputData[[#This Row],[MONTH]])</f>
        <v>2025</v>
      </c>
      <c r="K303" s="3" t="str">
        <f>"SMT-"&amp;CHOOSE(MONTH(InputData[[#This Row],[MONTH]]),1,1,1,1,1,1,2,2,2,2,2,2)</f>
        <v>SMT-2</v>
      </c>
      <c r="L303" s="20"/>
    </row>
    <row r="304" spans="1:12">
      <c r="A304" s="4">
        <v>45839</v>
      </c>
      <c r="B304" s="3" t="s">
        <v>24</v>
      </c>
      <c r="C304" s="11">
        <f>'[15]Realisasi Hilirisasi'!E100</f>
        <v>0</v>
      </c>
      <c r="D304" s="7">
        <f>'[15]Realisasi Hilirisasi'!F100</f>
        <v>0</v>
      </c>
      <c r="E304" s="5">
        <f>'[15]Realisasi Hilirisasi'!G100</f>
        <v>0</v>
      </c>
      <c r="F304" s="51">
        <f>IFERROR((InputData[[#This Row],[GROSS PROFIT]]/InputData[[#This Row],[REVENUE]])*100%,0)</f>
        <v>0</v>
      </c>
      <c r="G304" s="3" t="str">
        <f>VLOOKUP(InputData[[#This Row],[PRODUCT ID]],Master[],2,0)</f>
        <v>Cut to Lenght</v>
      </c>
      <c r="H304" s="3" t="str">
        <f>VLOOKUP(InputData[[#This Row],[PRODUCT ID]],Master[],3,0)</f>
        <v>KBK</v>
      </c>
      <c r="I304" s="3" t="str">
        <f>TEXT(InputData[[#This Row],[MONTH]],"MMMMMM")</f>
        <v>July</v>
      </c>
      <c r="J304" s="3">
        <f>YEAR(InputData[[#This Row],[MONTH]])</f>
        <v>2025</v>
      </c>
      <c r="K304" s="3" t="str">
        <f>"SMT-"&amp;CHOOSE(MONTH(InputData[[#This Row],[MONTH]]),1,1,1,1,1,1,2,2,2,2,2,2)</f>
        <v>SMT-2</v>
      </c>
      <c r="L304" s="20"/>
    </row>
    <row r="305" spans="1:12">
      <c r="A305" s="4">
        <v>45839</v>
      </c>
      <c r="B305" s="3" t="s">
        <v>12</v>
      </c>
      <c r="C305" s="11">
        <f>'[15]Realisasi Hilirisasi'!E101</f>
        <v>300</v>
      </c>
      <c r="D305" s="7">
        <f>'[15]Realisasi Hilirisasi'!F101</f>
        <v>5372811491.9541731</v>
      </c>
      <c r="E305" s="5">
        <f>'[15]Realisasi Hilirisasi'!G101</f>
        <v>74700000</v>
      </c>
      <c r="F305" s="51">
        <f>IFERROR((InputData[[#This Row],[GROSS PROFIT]]/InputData[[#This Row],[REVENUE]])*100%,0)</f>
        <v>1.3903335360241808E-2</v>
      </c>
      <c r="G305" s="3" t="str">
        <f>VLOOKUP(InputData[[#This Row],[PRODUCT ID]],Master[],2,0)</f>
        <v>Electric Pole</v>
      </c>
      <c r="H305" s="3" t="str">
        <f>VLOOKUP(InputData[[#This Row],[PRODUCT ID]],Master[],3,0)</f>
        <v>KPI</v>
      </c>
      <c r="I305" s="3" t="str">
        <f>TEXT(InputData[[#This Row],[MONTH]],"MMMMMM")</f>
        <v>July</v>
      </c>
      <c r="J305" s="3">
        <f>YEAR(InputData[[#This Row],[MONTH]])</f>
        <v>2025</v>
      </c>
      <c r="K305" s="3" t="str">
        <f>"SMT-"&amp;CHOOSE(MONTH(InputData[[#This Row],[MONTH]]),1,1,1,1,1,1,2,2,2,2,2,2)</f>
        <v>SMT-2</v>
      </c>
      <c r="L305" s="20"/>
    </row>
    <row r="306" spans="1:12">
      <c r="A306" s="4">
        <v>45839</v>
      </c>
      <c r="B306" s="3" t="s">
        <v>14</v>
      </c>
      <c r="C306" s="11">
        <f>'[15]Realisasi Hilirisasi'!E102</f>
        <v>0</v>
      </c>
      <c r="D306" s="7">
        <f>'[15]Realisasi Hilirisasi'!F102</f>
        <v>0</v>
      </c>
      <c r="E306" s="5">
        <f>'[15]Realisasi Hilirisasi'!G102</f>
        <v>0</v>
      </c>
      <c r="F306" s="51">
        <f>IFERROR((InputData[[#This Row],[GROSS PROFIT]]/InputData[[#This Row],[REVENUE]])*100%,0)</f>
        <v>0</v>
      </c>
      <c r="G306" s="3" t="str">
        <f>VLOOKUP(InputData[[#This Row],[PRODUCT ID]],Master[],2,0)</f>
        <v>Fiber Optic Pole</v>
      </c>
      <c r="H306" s="3" t="str">
        <f>VLOOKUP(InputData[[#This Row],[PRODUCT ID]],Master[],3,0)</f>
        <v>KPI</v>
      </c>
      <c r="I306" s="3" t="str">
        <f>TEXT(InputData[[#This Row],[MONTH]],"MMMMMM")</f>
        <v>July</v>
      </c>
      <c r="J306" s="3">
        <f>YEAR(InputData[[#This Row],[MONTH]])</f>
        <v>2025</v>
      </c>
      <c r="K306" s="3" t="str">
        <f>"SMT-"&amp;CHOOSE(MONTH(InputData[[#This Row],[MONTH]]),1,1,1,1,1,1,2,2,2,2,2,2)</f>
        <v>SMT-2</v>
      </c>
      <c r="L306" s="20"/>
    </row>
    <row r="307" spans="1:12">
      <c r="A307" s="4">
        <v>45839</v>
      </c>
      <c r="B307" s="3" t="s">
        <v>17</v>
      </c>
      <c r="C307" s="11">
        <f>'[15]Realisasi Hilirisasi'!E103</f>
        <v>0</v>
      </c>
      <c r="D307" s="7">
        <f>'[15]Realisasi Hilirisasi'!F103</f>
        <v>0</v>
      </c>
      <c r="E307" s="5">
        <f>'[15]Realisasi Hilirisasi'!G103</f>
        <v>0</v>
      </c>
      <c r="F307" s="51">
        <f>IFERROR((InputData[[#This Row],[GROSS PROFIT]]/InputData[[#This Row],[REVENUE]])*100%,0)</f>
        <v>0</v>
      </c>
      <c r="G307" s="3" t="str">
        <f>VLOOKUP(InputData[[#This Row],[PRODUCT ID]],Master[],2,0)</f>
        <v>Bends Pipe</v>
      </c>
      <c r="H307" s="3" t="str">
        <f>VLOOKUP(InputData[[#This Row],[PRODUCT ID]],Master[],3,0)</f>
        <v>KPI</v>
      </c>
      <c r="I307" s="3" t="str">
        <f>TEXT(InputData[[#This Row],[MONTH]],"MMMMMM")</f>
        <v>July</v>
      </c>
      <c r="J307" s="3">
        <f>YEAR(InputData[[#This Row],[MONTH]])</f>
        <v>2025</v>
      </c>
      <c r="K307" s="3" t="str">
        <f>"SMT-"&amp;CHOOSE(MONTH(InputData[[#This Row],[MONTH]]),1,1,1,1,1,1,2,2,2,2,2,2)</f>
        <v>SMT-2</v>
      </c>
      <c r="L307" s="20"/>
    </row>
    <row r="308" spans="1:12">
      <c r="A308" s="4">
        <v>45839</v>
      </c>
      <c r="B308" s="3" t="s">
        <v>16</v>
      </c>
      <c r="C308" s="11">
        <f>'[15]Realisasi Hilirisasi'!E104</f>
        <v>0</v>
      </c>
      <c r="D308" s="7">
        <f>'[15]Realisasi Hilirisasi'!F104</f>
        <v>0</v>
      </c>
      <c r="E308" s="5">
        <f>'[15]Realisasi Hilirisasi'!G104</f>
        <v>0</v>
      </c>
      <c r="F308" s="51">
        <f>IFERROR((InputData[[#This Row],[GROSS PROFIT]]/InputData[[#This Row],[REVENUE]])*100%,0)</f>
        <v>0</v>
      </c>
      <c r="G308" s="3" t="str">
        <f>VLOOKUP(InputData[[#This Row],[PRODUCT ID]],Master[],2,0)</f>
        <v>Seamless Pipe</v>
      </c>
      <c r="H308" s="3" t="str">
        <f>VLOOKUP(InputData[[#This Row],[PRODUCT ID]],Master[],3,0)</f>
        <v>KPI</v>
      </c>
      <c r="I308" s="3" t="str">
        <f>TEXT(InputData[[#This Row],[MONTH]],"MMMMMM")</f>
        <v>July</v>
      </c>
      <c r="J308" s="3">
        <f>YEAR(InputData[[#This Row],[MONTH]])</f>
        <v>2025</v>
      </c>
      <c r="K308" s="3" t="str">
        <f>"SMT-"&amp;CHOOSE(MONTH(InputData[[#This Row],[MONTH]]),1,1,1,1,1,1,2,2,2,2,2,2)</f>
        <v>SMT-2</v>
      </c>
      <c r="L308" s="20"/>
    </row>
    <row r="309" spans="1:12">
      <c r="A309" s="4">
        <v>45839</v>
      </c>
      <c r="B309" s="3" t="s">
        <v>19</v>
      </c>
      <c r="C309" s="11">
        <f>'[15]Realisasi Hilirisasi'!E105</f>
        <v>377.35490148954051</v>
      </c>
      <c r="D309" s="7">
        <f>'[15]Realisasi Hilirisasi'!F105</f>
        <v>6333201932.7659922</v>
      </c>
      <c r="E309" s="5">
        <f>'[15]Realisasi Hilirisasi'!G105</f>
        <v>93594117.232994378</v>
      </c>
      <c r="F309" s="51">
        <f>IFERROR((InputData[[#This Row],[GROSS PROFIT]]/InputData[[#This Row],[REVENUE]])*100%,0)</f>
        <v>1.4778325123152618E-2</v>
      </c>
      <c r="G309" s="3" t="str">
        <f>VLOOKUP(InputData[[#This Row],[PRODUCT ID]],Master[],2,0)</f>
        <v>Baja Ringan</v>
      </c>
      <c r="H309" s="3" t="str">
        <f>VLOOKUP(InputData[[#This Row],[PRODUCT ID]],Master[],3,0)</f>
        <v>KNI</v>
      </c>
      <c r="I309" s="3" t="str">
        <f>TEXT(InputData[[#This Row],[MONTH]],"MMMMMM")</f>
        <v>July</v>
      </c>
      <c r="J309" s="3">
        <f>YEAR(InputData[[#This Row],[MONTH]])</f>
        <v>2025</v>
      </c>
      <c r="K309" s="3" t="str">
        <f>"SMT-"&amp;CHOOSE(MONTH(InputData[[#This Row],[MONTH]]),1,1,1,1,1,1,2,2,2,2,2,2)</f>
        <v>SMT-2</v>
      </c>
      <c r="L309" s="20"/>
    </row>
    <row r="310" spans="1:12">
      <c r="A310" s="4">
        <v>45839</v>
      </c>
      <c r="B310" s="3" t="s">
        <v>75</v>
      </c>
      <c r="C310" s="11">
        <f>'[15]Realisasi Hilirisasi'!E106</f>
        <v>0</v>
      </c>
      <c r="D310" s="7">
        <f>'[15]Realisasi Hilirisasi'!F106</f>
        <v>0</v>
      </c>
      <c r="E310" s="5">
        <f>'[15]Realisasi Hilirisasi'!G106</f>
        <v>0</v>
      </c>
      <c r="F310" s="51">
        <f>IFERROR((InputData[[#This Row],[GROSS PROFIT]]/InputData[[#This Row],[REVENUE]])*100%,0)</f>
        <v>0</v>
      </c>
      <c r="G310" s="3" t="str">
        <f>VLOOKUP(InputData[[#This Row],[PRODUCT ID]],Master[],2,0)</f>
        <v>Floordeck</v>
      </c>
      <c r="H310" s="3" t="str">
        <f>VLOOKUP(InputData[[#This Row],[PRODUCT ID]],Master[],3,0)</f>
        <v>KNI</v>
      </c>
      <c r="I310" s="3" t="str">
        <f>TEXT(InputData[[#This Row],[MONTH]],"MMMMMM")</f>
        <v>July</v>
      </c>
      <c r="J310" s="3">
        <f>YEAR(InputData[[#This Row],[MONTH]])</f>
        <v>2025</v>
      </c>
      <c r="K310" s="3" t="str">
        <f>"SMT-"&amp;CHOOSE(MONTH(InputData[[#This Row],[MONTH]]),1,1,1,1,1,1,2,2,2,2,2,2)</f>
        <v>SMT-2</v>
      </c>
      <c r="L310" s="20"/>
    </row>
    <row r="311" spans="1:12">
      <c r="A311" s="4">
        <v>45839</v>
      </c>
      <c r="B311" s="3" t="s">
        <v>18</v>
      </c>
      <c r="C311" s="11">
        <f>'[15]Realisasi Hilirisasi'!E107</f>
        <v>0</v>
      </c>
      <c r="D311" s="7">
        <f>'[15]Realisasi Hilirisasi'!F107</f>
        <v>0</v>
      </c>
      <c r="E311" s="5">
        <f>'[15]Realisasi Hilirisasi'!G107</f>
        <v>0</v>
      </c>
      <c r="F311" s="51">
        <f>IFERROR((InputData[[#This Row],[GROSS PROFIT]]/InputData[[#This Row],[REVENUE]])*100%,0)</f>
        <v>0</v>
      </c>
      <c r="G311" s="3" t="str">
        <f>VLOOKUP(InputData[[#This Row],[PRODUCT ID]],Master[],2,0)</f>
        <v>Galvanized &amp; Galvalume</v>
      </c>
      <c r="H311" s="3" t="str">
        <f>VLOOKUP(InputData[[#This Row],[PRODUCT ID]],Master[],3,0)</f>
        <v>KNI</v>
      </c>
      <c r="I311" s="3" t="str">
        <f>TEXT(InputData[[#This Row],[MONTH]],"MMMMMM")</f>
        <v>July</v>
      </c>
      <c r="J311" s="3">
        <f>YEAR(InputData[[#This Row],[MONTH]])</f>
        <v>2025</v>
      </c>
      <c r="K311" s="3" t="str">
        <f>"SMT-"&amp;CHOOSE(MONTH(InputData[[#This Row],[MONTH]]),1,1,1,1,1,1,2,2,2,2,2,2)</f>
        <v>SMT-2</v>
      </c>
      <c r="L311" s="20"/>
    </row>
    <row r="312" spans="1:12">
      <c r="A312" s="4">
        <v>45839</v>
      </c>
      <c r="B312" s="3" t="s">
        <v>20</v>
      </c>
      <c r="C312" s="11">
        <f>'[15]Realisasi Hilirisasi'!E108</f>
        <v>0</v>
      </c>
      <c r="D312" s="7">
        <f>'[15]Realisasi Hilirisasi'!F108</f>
        <v>0</v>
      </c>
      <c r="E312" s="5">
        <f>'[15]Realisasi Hilirisasi'!G108</f>
        <v>0</v>
      </c>
      <c r="F312" s="51">
        <f>IFERROR((InputData[[#This Row],[GROSS PROFIT]]/InputData[[#This Row],[REVENUE]])*100%,0)</f>
        <v>0</v>
      </c>
      <c r="G312" s="3" t="str">
        <f>VLOOKUP(InputData[[#This Row],[PRODUCT ID]],Master[],2,0)</f>
        <v>CNP</v>
      </c>
      <c r="H312" s="3" t="str">
        <f>VLOOKUP(InputData[[#This Row],[PRODUCT ID]],Master[],3,0)</f>
        <v>KNI</v>
      </c>
      <c r="I312" s="3" t="str">
        <f>TEXT(InputData[[#This Row],[MONTH]],"MMMMMM")</f>
        <v>July</v>
      </c>
      <c r="J312" s="3">
        <f>YEAR(InputData[[#This Row],[MONTH]])</f>
        <v>2025</v>
      </c>
      <c r="K312" s="3" t="str">
        <f>"SMT-"&amp;CHOOSE(MONTH(InputData[[#This Row],[MONTH]]),1,1,1,1,1,1,2,2,2,2,2,2)</f>
        <v>SMT-2</v>
      </c>
      <c r="L312" s="20"/>
    </row>
    <row r="313" spans="1:12">
      <c r="A313" s="4">
        <v>45839</v>
      </c>
      <c r="B313" s="3" t="s">
        <v>23</v>
      </c>
      <c r="C313" s="11">
        <f>'[15]Realisasi Hilirisasi'!E109</f>
        <v>57.728999999999999</v>
      </c>
      <c r="D313" s="7">
        <f>'[15]Realisasi Hilirisasi'!F109</f>
        <v>640466361</v>
      </c>
      <c r="E313" s="5">
        <f>'[15]Realisasi Hilirisasi'!G109</f>
        <v>28699446</v>
      </c>
      <c r="F313" s="51">
        <f>IFERROR((InputData[[#This Row],[GROSS PROFIT]]/InputData[[#This Row],[REVENUE]])*100%,0)</f>
        <v>4.4810231649309057E-2</v>
      </c>
      <c r="G313" s="3" t="str">
        <f>VLOOKUP(InputData[[#This Row],[PRODUCT ID]],Master[],2,0)</f>
        <v>Other Product</v>
      </c>
      <c r="H313" s="3" t="str">
        <f>VLOOKUP(InputData[[#This Row],[PRODUCT ID]],Master[],3,0)</f>
        <v>KNI</v>
      </c>
      <c r="I313" s="3" t="str">
        <f>TEXT(InputData[[#This Row],[MONTH]],"MMMMMM")</f>
        <v>July</v>
      </c>
      <c r="J313" s="3">
        <f>YEAR(InputData[[#This Row],[MONTH]])</f>
        <v>2025</v>
      </c>
      <c r="K313" s="3" t="str">
        <f>"SMT-"&amp;CHOOSE(MONTH(InputData[[#This Row],[MONTH]]),1,1,1,1,1,1,2,2,2,2,2,2)</f>
        <v>SMT-2</v>
      </c>
      <c r="L313" s="20"/>
    </row>
    <row r="314" spans="1:12">
      <c r="A314" s="4">
        <v>45839</v>
      </c>
      <c r="B314" s="3" t="s">
        <v>21</v>
      </c>
      <c r="C314" s="11">
        <f>'[15]Realisasi Hilirisasi'!E110</f>
        <v>0</v>
      </c>
      <c r="D314" s="7">
        <f>'[15]Realisasi Hilirisasi'!F110</f>
        <v>0</v>
      </c>
      <c r="E314" s="5">
        <f>'[15]Realisasi Hilirisasi'!G110</f>
        <v>0</v>
      </c>
      <c r="F314" s="51">
        <f>IFERROR((InputData[[#This Row],[GROSS PROFIT]]/InputData[[#This Row],[REVENUE]])*100%,0)</f>
        <v>0</v>
      </c>
      <c r="G314" s="3" t="str">
        <f>VLOOKUP(InputData[[#This Row],[PRODUCT ID]],Master[],2,0)</f>
        <v>Welded Beam</v>
      </c>
      <c r="H314" s="3" t="str">
        <f>VLOOKUP(InputData[[#This Row],[PRODUCT ID]],Master[],3,0)</f>
        <v>KPdP</v>
      </c>
      <c r="I314" s="3" t="str">
        <f>TEXT(InputData[[#This Row],[MONTH]],"MMMMMM")</f>
        <v>July</v>
      </c>
      <c r="J314" s="3">
        <f>YEAR(InputData[[#This Row],[MONTH]])</f>
        <v>2025</v>
      </c>
      <c r="K314" s="3" t="str">
        <f>"SMT-"&amp;CHOOSE(MONTH(InputData[[#This Row],[MONTH]]),1,1,1,1,1,1,2,2,2,2,2,2)</f>
        <v>SMT-2</v>
      </c>
      <c r="L314" s="20"/>
    </row>
    <row r="315" spans="1:12">
      <c r="A315" s="4">
        <v>45870</v>
      </c>
      <c r="B315" s="3" t="s">
        <v>4</v>
      </c>
      <c r="C315" s="11">
        <f>'[15]Realisasi Hilirisasi'!E111</f>
        <v>0</v>
      </c>
      <c r="D315" s="7">
        <f>'[15]Realisasi Hilirisasi'!F111</f>
        <v>0</v>
      </c>
      <c r="E315" s="5">
        <f>'[15]Realisasi Hilirisasi'!G111</f>
        <v>0</v>
      </c>
      <c r="F315" s="51">
        <f>IFERROR((InputData[[#This Row],[GROSS PROFIT]]/InputData[[#This Row],[REVENUE]])*100%,0)</f>
        <v>0</v>
      </c>
      <c r="G315" s="3" t="str">
        <f>VLOOKUP(InputData[[#This Row],[PRODUCT ID]],Master[],2,0)</f>
        <v>Tower</v>
      </c>
      <c r="H315" s="3" t="str">
        <f>VLOOKUP(InputData[[#This Row],[PRODUCT ID]],Master[],3,0)</f>
        <v>KBK</v>
      </c>
      <c r="I315" s="3" t="str">
        <f>TEXT(InputData[[#This Row],[MONTH]],"MMMMMM")</f>
        <v>August</v>
      </c>
      <c r="J315" s="3">
        <f>YEAR(InputData[[#This Row],[MONTH]])</f>
        <v>2025</v>
      </c>
      <c r="K315" s="3" t="str">
        <f>"SMT-"&amp;CHOOSE(MONTH(InputData[[#This Row],[MONTH]]),1,1,1,1,1,1,2,2,2,2,2,2)</f>
        <v>SMT-2</v>
      </c>
      <c r="L315" s="20"/>
    </row>
    <row r="316" spans="1:12">
      <c r="A316" s="4">
        <v>45870</v>
      </c>
      <c r="B316" s="3" t="s">
        <v>9</v>
      </c>
      <c r="C316" s="11">
        <f>'[15]Realisasi Hilirisasi'!E112</f>
        <v>102.66652509375</v>
      </c>
      <c r="D316" s="7">
        <f>'[15]Realisasi Hilirisasi'!F112</f>
        <v>3285328803</v>
      </c>
      <c r="E316" s="5">
        <f>'[15]Realisasi Hilirisasi'!G112</f>
        <v>-394239456.36000013</v>
      </c>
      <c r="F316" s="51">
        <f>IFERROR((InputData[[#This Row],[GROSS PROFIT]]/InputData[[#This Row],[REVENUE]])*100%,0)</f>
        <v>-0.12000000000000004</v>
      </c>
      <c r="G316" s="3" t="str">
        <f>VLOOKUP(InputData[[#This Row],[PRODUCT ID]],Master[],2,0)</f>
        <v>Steel Structure</v>
      </c>
      <c r="H316" s="3" t="str">
        <f>VLOOKUP(InputData[[#This Row],[PRODUCT ID]],Master[],3,0)</f>
        <v>KBK</v>
      </c>
      <c r="I316" s="3" t="str">
        <f>TEXT(InputData[[#This Row],[MONTH]],"MMMMMM")</f>
        <v>August</v>
      </c>
      <c r="J316" s="3">
        <f>YEAR(InputData[[#This Row],[MONTH]])</f>
        <v>2025</v>
      </c>
      <c r="K316" s="3" t="str">
        <f>"SMT-"&amp;CHOOSE(MONTH(InputData[[#This Row],[MONTH]]),1,1,1,1,1,1,2,2,2,2,2,2)</f>
        <v>SMT-2</v>
      </c>
      <c r="L316" s="20"/>
    </row>
    <row r="317" spans="1:12">
      <c r="A317" s="4">
        <v>45870</v>
      </c>
      <c r="B317" s="3" t="s">
        <v>22</v>
      </c>
      <c r="C317" s="11">
        <f>'[15]Realisasi Hilirisasi'!E113</f>
        <v>0</v>
      </c>
      <c r="D317" s="7">
        <f>'[15]Realisasi Hilirisasi'!F113</f>
        <v>0</v>
      </c>
      <c r="E317" s="5">
        <f>'[15]Realisasi Hilirisasi'!G113</f>
        <v>0</v>
      </c>
      <c r="F317" s="51">
        <f>IFERROR((InputData[[#This Row],[GROSS PROFIT]]/InputData[[#This Row],[REVENUE]])*100%,0)</f>
        <v>0</v>
      </c>
      <c r="G317" s="3" t="str">
        <f>VLOOKUP(InputData[[#This Row],[PRODUCT ID]],Master[],2,0)</f>
        <v>Modular</v>
      </c>
      <c r="H317" s="3" t="str">
        <f>VLOOKUP(InputData[[#This Row],[PRODUCT ID]],Master[],3,0)</f>
        <v>KBK</v>
      </c>
      <c r="I317" s="3" t="str">
        <f>TEXT(InputData[[#This Row],[MONTH]],"MMMMMM")</f>
        <v>August</v>
      </c>
      <c r="J317" s="3">
        <f>YEAR(InputData[[#This Row],[MONTH]])</f>
        <v>2025</v>
      </c>
      <c r="K317" s="3" t="str">
        <f>"SMT-"&amp;CHOOSE(MONTH(InputData[[#This Row],[MONTH]]),1,1,1,1,1,1,2,2,2,2,2,2)</f>
        <v>SMT-2</v>
      </c>
      <c r="L317" s="20"/>
    </row>
    <row r="318" spans="1:12">
      <c r="A318" s="4">
        <v>45870</v>
      </c>
      <c r="B318" s="3" t="s">
        <v>11</v>
      </c>
      <c r="C318" s="11">
        <f>'[15]Realisasi Hilirisasi'!E114</f>
        <v>143.22262999999998</v>
      </c>
      <c r="D318" s="7">
        <f>'[15]Realisasi Hilirisasi'!F114</f>
        <v>1974373708.2793999</v>
      </c>
      <c r="E318" s="5">
        <f>'[15]Realisasi Hilirisasi'!G114</f>
        <v>-201628687.72059989</v>
      </c>
      <c r="F318" s="51">
        <f>IFERROR((InputData[[#This Row],[GROSS PROFIT]]/InputData[[#This Row],[REVENUE]])*100%,0)</f>
        <v>-0.10212285894766726</v>
      </c>
      <c r="G318" s="3" t="str">
        <f>VLOOKUP(InputData[[#This Row],[PRODUCT ID]],Master[],2,0)</f>
        <v>Steel Creative &amp; Component</v>
      </c>
      <c r="H318" s="3" t="str">
        <f>VLOOKUP(InputData[[#This Row],[PRODUCT ID]],Master[],3,0)</f>
        <v>KBK</v>
      </c>
      <c r="I318" s="3" t="str">
        <f>TEXT(InputData[[#This Row],[MONTH]],"MMMMMM")</f>
        <v>August</v>
      </c>
      <c r="J318" s="3">
        <f>YEAR(InputData[[#This Row],[MONTH]])</f>
        <v>2025</v>
      </c>
      <c r="K318" s="3" t="str">
        <f>"SMT-"&amp;CHOOSE(MONTH(InputData[[#This Row],[MONTH]]),1,1,1,1,1,1,2,2,2,2,2,2)</f>
        <v>SMT-2</v>
      </c>
      <c r="L318" s="20"/>
    </row>
    <row r="319" spans="1:12">
      <c r="A319" s="4">
        <v>45870</v>
      </c>
      <c r="B319" s="3" t="s">
        <v>24</v>
      </c>
      <c r="C319" s="11">
        <f>'[15]Realisasi Hilirisasi'!E115</f>
        <v>0</v>
      </c>
      <c r="D319" s="7">
        <f>'[15]Realisasi Hilirisasi'!F115</f>
        <v>0</v>
      </c>
      <c r="E319" s="5">
        <f>'[15]Realisasi Hilirisasi'!G115</f>
        <v>0</v>
      </c>
      <c r="F319" s="51">
        <f>IFERROR((InputData[[#This Row],[GROSS PROFIT]]/InputData[[#This Row],[REVENUE]])*100%,0)</f>
        <v>0</v>
      </c>
      <c r="G319" s="3" t="str">
        <f>VLOOKUP(InputData[[#This Row],[PRODUCT ID]],Master[],2,0)</f>
        <v>Cut to Lenght</v>
      </c>
      <c r="H319" s="3" t="str">
        <f>VLOOKUP(InputData[[#This Row],[PRODUCT ID]],Master[],3,0)</f>
        <v>KBK</v>
      </c>
      <c r="I319" s="3" t="str">
        <f>TEXT(InputData[[#This Row],[MONTH]],"MMMMMM")</f>
        <v>August</v>
      </c>
      <c r="J319" s="3">
        <f>YEAR(InputData[[#This Row],[MONTH]])</f>
        <v>2025</v>
      </c>
      <c r="K319" s="3" t="str">
        <f>"SMT-"&amp;CHOOSE(MONTH(InputData[[#This Row],[MONTH]]),1,1,1,1,1,1,2,2,2,2,2,2)</f>
        <v>SMT-2</v>
      </c>
      <c r="L319" s="20"/>
    </row>
    <row r="320" spans="1:12">
      <c r="A320" s="4">
        <v>45870</v>
      </c>
      <c r="B320" s="3" t="s">
        <v>12</v>
      </c>
      <c r="C320" s="11">
        <f>'[15]Realisasi Hilirisasi'!E116</f>
        <v>260.53300000000002</v>
      </c>
      <c r="D320" s="7">
        <f>'[15]Realisasi Hilirisasi'!F116</f>
        <v>4645302037</v>
      </c>
      <c r="E320" s="5">
        <f>'[15]Realisasi Hilirisasi'!G116</f>
        <v>750071154</v>
      </c>
      <c r="F320" s="51">
        <f>IFERROR((InputData[[#This Row],[GROSS PROFIT]]/InputData[[#This Row],[REVENUE]])*100%,0)</f>
        <v>0.16146875876437225</v>
      </c>
      <c r="G320" s="3" t="str">
        <f>VLOOKUP(InputData[[#This Row],[PRODUCT ID]],Master[],2,0)</f>
        <v>Electric Pole</v>
      </c>
      <c r="H320" s="3" t="str">
        <f>VLOOKUP(InputData[[#This Row],[PRODUCT ID]],Master[],3,0)</f>
        <v>KPI</v>
      </c>
      <c r="I320" s="3" t="str">
        <f>TEXT(InputData[[#This Row],[MONTH]],"MMMMMM")</f>
        <v>August</v>
      </c>
      <c r="J320" s="3">
        <f>YEAR(InputData[[#This Row],[MONTH]])</f>
        <v>2025</v>
      </c>
      <c r="K320" s="3" t="str">
        <f>"SMT-"&amp;CHOOSE(MONTH(InputData[[#This Row],[MONTH]]),1,1,1,1,1,1,2,2,2,2,2,2)</f>
        <v>SMT-2</v>
      </c>
      <c r="L320" s="20"/>
    </row>
    <row r="321" spans="1:12">
      <c r="A321" s="4">
        <v>45870</v>
      </c>
      <c r="B321" s="3" t="s">
        <v>14</v>
      </c>
      <c r="C321" s="11">
        <f>'[15]Realisasi Hilirisasi'!E117</f>
        <v>0</v>
      </c>
      <c r="D321" s="7">
        <f>'[15]Realisasi Hilirisasi'!F117</f>
        <v>0</v>
      </c>
      <c r="E321" s="5">
        <f>'[15]Realisasi Hilirisasi'!G117</f>
        <v>0</v>
      </c>
      <c r="F321" s="51">
        <f>IFERROR((InputData[[#This Row],[GROSS PROFIT]]/InputData[[#This Row],[REVENUE]])*100%,0)</f>
        <v>0</v>
      </c>
      <c r="G321" s="3" t="str">
        <f>VLOOKUP(InputData[[#This Row],[PRODUCT ID]],Master[],2,0)</f>
        <v>Fiber Optic Pole</v>
      </c>
      <c r="H321" s="3" t="str">
        <f>VLOOKUP(InputData[[#This Row],[PRODUCT ID]],Master[],3,0)</f>
        <v>KPI</v>
      </c>
      <c r="I321" s="3" t="str">
        <f>TEXT(InputData[[#This Row],[MONTH]],"MMMMMM")</f>
        <v>August</v>
      </c>
      <c r="J321" s="3">
        <f>YEAR(InputData[[#This Row],[MONTH]])</f>
        <v>2025</v>
      </c>
      <c r="K321" s="3" t="str">
        <f>"SMT-"&amp;CHOOSE(MONTH(InputData[[#This Row],[MONTH]]),1,1,1,1,1,1,2,2,2,2,2,2)</f>
        <v>SMT-2</v>
      </c>
      <c r="L321" s="20"/>
    </row>
    <row r="322" spans="1:12">
      <c r="A322" s="4">
        <v>45870</v>
      </c>
      <c r="B322" s="3" t="s">
        <v>17</v>
      </c>
      <c r="C322" s="11">
        <f>'[15]Realisasi Hilirisasi'!E118</f>
        <v>11</v>
      </c>
      <c r="D322" s="7">
        <f>'[15]Realisasi Hilirisasi'!F118</f>
        <v>862500000</v>
      </c>
      <c r="E322" s="5">
        <f>'[15]Realisasi Hilirisasi'!G118</f>
        <v>112500000</v>
      </c>
      <c r="F322" s="51">
        <f>IFERROR((InputData[[#This Row],[GROSS PROFIT]]/InputData[[#This Row],[REVENUE]])*100%,0)</f>
        <v>0.13043478260869565</v>
      </c>
      <c r="G322" s="3" t="str">
        <f>VLOOKUP(InputData[[#This Row],[PRODUCT ID]],Master[],2,0)</f>
        <v>Bends Pipe</v>
      </c>
      <c r="H322" s="3" t="str">
        <f>VLOOKUP(InputData[[#This Row],[PRODUCT ID]],Master[],3,0)</f>
        <v>KPI</v>
      </c>
      <c r="I322" s="3" t="str">
        <f>TEXT(InputData[[#This Row],[MONTH]],"MMMMMM")</f>
        <v>August</v>
      </c>
      <c r="J322" s="3">
        <f>YEAR(InputData[[#This Row],[MONTH]])</f>
        <v>2025</v>
      </c>
      <c r="K322" s="3" t="str">
        <f>"SMT-"&amp;CHOOSE(MONTH(InputData[[#This Row],[MONTH]]),1,1,1,1,1,1,2,2,2,2,2,2)</f>
        <v>SMT-2</v>
      </c>
      <c r="L322" s="20"/>
    </row>
    <row r="323" spans="1:12">
      <c r="A323" s="4">
        <v>45870</v>
      </c>
      <c r="B323" s="3" t="s">
        <v>16</v>
      </c>
      <c r="C323" s="11">
        <f>'[15]Realisasi Hilirisasi'!E119</f>
        <v>1069</v>
      </c>
      <c r="D323" s="7">
        <f>'[15]Realisasi Hilirisasi'!F119</f>
        <v>10913656034</v>
      </c>
      <c r="E323" s="5">
        <f>'[15]Realisasi Hilirisasi'!G119</f>
        <v>427600000</v>
      </c>
      <c r="F323" s="51">
        <f>IFERROR((InputData[[#This Row],[GROSS PROFIT]]/InputData[[#This Row],[REVENUE]])*100%,0)</f>
        <v>3.9180270907189195E-2</v>
      </c>
      <c r="G323" s="3" t="str">
        <f>VLOOKUP(InputData[[#This Row],[PRODUCT ID]],Master[],2,0)</f>
        <v>Seamless Pipe</v>
      </c>
      <c r="H323" s="3" t="str">
        <f>VLOOKUP(InputData[[#This Row],[PRODUCT ID]],Master[],3,0)</f>
        <v>KPI</v>
      </c>
      <c r="I323" s="3" t="str">
        <f>TEXT(InputData[[#This Row],[MONTH]],"MMMMMM")</f>
        <v>August</v>
      </c>
      <c r="J323" s="3">
        <f>YEAR(InputData[[#This Row],[MONTH]])</f>
        <v>2025</v>
      </c>
      <c r="K323" s="3" t="str">
        <f>"SMT-"&amp;CHOOSE(MONTH(InputData[[#This Row],[MONTH]]),1,1,1,1,1,1,2,2,2,2,2,2)</f>
        <v>SMT-2</v>
      </c>
      <c r="L323" s="20"/>
    </row>
    <row r="324" spans="1:12">
      <c r="A324" s="4">
        <v>45870</v>
      </c>
      <c r="B324" s="3" t="s">
        <v>19</v>
      </c>
      <c r="C324" s="11">
        <f>'[15]Realisasi Hilirisasi'!E120</f>
        <v>385.53194830024609</v>
      </c>
      <c r="D324" s="7">
        <f>'[15]Realisasi Hilirisasi'!F120</f>
        <v>6474299547.5453062</v>
      </c>
      <c r="E324" s="5">
        <f>'[15]Realisasi Hilirisasi'!G120</f>
        <v>6378620243.887001</v>
      </c>
      <c r="F324" s="51">
        <f>IFERROR((InputData[[#This Row],[GROSS PROFIT]]/InputData[[#This Row],[REVENUE]])*100%,0)</f>
        <v>0.98522167487684731</v>
      </c>
      <c r="G324" s="3" t="str">
        <f>VLOOKUP(InputData[[#This Row],[PRODUCT ID]],Master[],2,0)</f>
        <v>Baja Ringan</v>
      </c>
      <c r="H324" s="3" t="str">
        <f>VLOOKUP(InputData[[#This Row],[PRODUCT ID]],Master[],3,0)</f>
        <v>KNI</v>
      </c>
      <c r="I324" s="3" t="str">
        <f>TEXT(InputData[[#This Row],[MONTH]],"MMMMMM")</f>
        <v>August</v>
      </c>
      <c r="J324" s="3">
        <f>YEAR(InputData[[#This Row],[MONTH]])</f>
        <v>2025</v>
      </c>
      <c r="K324" s="3" t="str">
        <f>"SMT-"&amp;CHOOSE(MONTH(InputData[[#This Row],[MONTH]]),1,1,1,1,1,1,2,2,2,2,2,2)</f>
        <v>SMT-2</v>
      </c>
      <c r="L324" s="20"/>
    </row>
    <row r="325" spans="1:12">
      <c r="A325" s="4">
        <v>45870</v>
      </c>
      <c r="B325" s="3" t="s">
        <v>75</v>
      </c>
      <c r="C325" s="11">
        <f>'[15]Realisasi Hilirisasi'!E121</f>
        <v>0</v>
      </c>
      <c r="D325" s="7">
        <f>'[15]Realisasi Hilirisasi'!F121</f>
        <v>0</v>
      </c>
      <c r="E325" s="5">
        <f>'[15]Realisasi Hilirisasi'!G121</f>
        <v>0</v>
      </c>
      <c r="F325" s="51">
        <f>IFERROR((InputData[[#This Row],[GROSS PROFIT]]/InputData[[#This Row],[REVENUE]])*100%,0)</f>
        <v>0</v>
      </c>
      <c r="G325" s="3" t="str">
        <f>VLOOKUP(InputData[[#This Row],[PRODUCT ID]],Master[],2,0)</f>
        <v>Floordeck</v>
      </c>
      <c r="H325" s="3" t="str">
        <f>VLOOKUP(InputData[[#This Row],[PRODUCT ID]],Master[],3,0)</f>
        <v>KNI</v>
      </c>
      <c r="I325" s="3" t="str">
        <f>TEXT(InputData[[#This Row],[MONTH]],"MMMMMM")</f>
        <v>August</v>
      </c>
      <c r="J325" s="3">
        <f>YEAR(InputData[[#This Row],[MONTH]])</f>
        <v>2025</v>
      </c>
      <c r="K325" s="3" t="str">
        <f>"SMT-"&amp;CHOOSE(MONTH(InputData[[#This Row],[MONTH]]),1,1,1,1,1,1,2,2,2,2,2,2)</f>
        <v>SMT-2</v>
      </c>
      <c r="L325" s="20"/>
    </row>
    <row r="326" spans="1:12">
      <c r="A326" s="4">
        <v>45870</v>
      </c>
      <c r="B326" s="3" t="s">
        <v>18</v>
      </c>
      <c r="C326" s="11">
        <f>'[15]Realisasi Hilirisasi'!E122</f>
        <v>0</v>
      </c>
      <c r="D326" s="7">
        <f>'[15]Realisasi Hilirisasi'!F122</f>
        <v>0</v>
      </c>
      <c r="E326" s="5">
        <f>'[15]Realisasi Hilirisasi'!G122</f>
        <v>0</v>
      </c>
      <c r="F326" s="51">
        <f>IFERROR((InputData[[#This Row],[GROSS PROFIT]]/InputData[[#This Row],[REVENUE]])*100%,0)</f>
        <v>0</v>
      </c>
      <c r="G326" s="3" t="str">
        <f>VLOOKUP(InputData[[#This Row],[PRODUCT ID]],Master[],2,0)</f>
        <v>Galvanized &amp; Galvalume</v>
      </c>
      <c r="H326" s="3" t="str">
        <f>VLOOKUP(InputData[[#This Row],[PRODUCT ID]],Master[],3,0)</f>
        <v>KNI</v>
      </c>
      <c r="I326" s="3" t="str">
        <f>TEXT(InputData[[#This Row],[MONTH]],"MMMMMM")</f>
        <v>August</v>
      </c>
      <c r="J326" s="3">
        <f>YEAR(InputData[[#This Row],[MONTH]])</f>
        <v>2025</v>
      </c>
      <c r="K326" s="3" t="str">
        <f>"SMT-"&amp;CHOOSE(MONTH(InputData[[#This Row],[MONTH]]),1,1,1,1,1,1,2,2,2,2,2,2)</f>
        <v>SMT-2</v>
      </c>
      <c r="L326" s="20"/>
    </row>
    <row r="327" spans="1:12">
      <c r="A327" s="4">
        <v>45870</v>
      </c>
      <c r="B327" s="3" t="s">
        <v>20</v>
      </c>
      <c r="C327" s="11">
        <f>'[15]Realisasi Hilirisasi'!E123</f>
        <v>0.89739999999999998</v>
      </c>
      <c r="D327" s="7">
        <f>'[15]Realisasi Hilirisasi'!F123</f>
        <v>10510348.799999999</v>
      </c>
      <c r="E327" s="5">
        <f>'[15]Realisasi Hilirisasi'!G123</f>
        <v>8576451.7999999989</v>
      </c>
      <c r="F327" s="51">
        <f>IFERROR((InputData[[#This Row],[GROSS PROFIT]]/InputData[[#This Row],[REVENUE]])*100%,0)</f>
        <v>0.81600068306010931</v>
      </c>
      <c r="G327" s="3" t="str">
        <f>VLOOKUP(InputData[[#This Row],[PRODUCT ID]],Master[],2,0)</f>
        <v>CNP</v>
      </c>
      <c r="H327" s="3" t="str">
        <f>VLOOKUP(InputData[[#This Row],[PRODUCT ID]],Master[],3,0)</f>
        <v>KNI</v>
      </c>
      <c r="I327" s="3" t="str">
        <f>TEXT(InputData[[#This Row],[MONTH]],"MMMMMM")</f>
        <v>August</v>
      </c>
      <c r="J327" s="3">
        <f>YEAR(InputData[[#This Row],[MONTH]])</f>
        <v>2025</v>
      </c>
      <c r="K327" s="3" t="str">
        <f>"SMT-"&amp;CHOOSE(MONTH(InputData[[#This Row],[MONTH]]),1,1,1,1,1,1,2,2,2,2,2,2)</f>
        <v>SMT-2</v>
      </c>
      <c r="L327" s="20"/>
    </row>
    <row r="328" spans="1:12">
      <c r="A328" s="4">
        <v>45870</v>
      </c>
      <c r="B328" s="3" t="s">
        <v>23</v>
      </c>
      <c r="C328" s="11">
        <f>'[15]Realisasi Hilirisasi'!E124</f>
        <v>273.20965000000001</v>
      </c>
      <c r="D328" s="7">
        <f>'[15]Realisasi Hilirisasi'!F124</f>
        <v>3693553689.8099999</v>
      </c>
      <c r="E328" s="5">
        <f>'[15]Realisasi Hilirisasi'!G124</f>
        <v>3586803090.1399999</v>
      </c>
      <c r="F328" s="51">
        <f>IFERROR((InputData[[#This Row],[GROSS PROFIT]]/InputData[[#This Row],[REVENUE]])*100%,0)</f>
        <v>0.97109813241255705</v>
      </c>
      <c r="G328" s="3" t="str">
        <f>VLOOKUP(InputData[[#This Row],[PRODUCT ID]],Master[],2,0)</f>
        <v>Other Product</v>
      </c>
      <c r="H328" s="3" t="str">
        <f>VLOOKUP(InputData[[#This Row],[PRODUCT ID]],Master[],3,0)</f>
        <v>KNI</v>
      </c>
      <c r="I328" s="3" t="str">
        <f>TEXT(InputData[[#This Row],[MONTH]],"MMMMMM")</f>
        <v>August</v>
      </c>
      <c r="J328" s="3">
        <f>YEAR(InputData[[#This Row],[MONTH]])</f>
        <v>2025</v>
      </c>
      <c r="K328" s="3" t="str">
        <f>"SMT-"&amp;CHOOSE(MONTH(InputData[[#This Row],[MONTH]]),1,1,1,1,1,1,2,2,2,2,2,2)</f>
        <v>SMT-2</v>
      </c>
      <c r="L328" s="20"/>
    </row>
    <row r="329" spans="1:12">
      <c r="A329" s="4">
        <v>45870</v>
      </c>
      <c r="B329" s="3" t="s">
        <v>21</v>
      </c>
      <c r="C329" s="11">
        <f>'[15]Realisasi Hilirisasi'!E125</f>
        <v>0</v>
      </c>
      <c r="D329" s="7">
        <f>'[15]Realisasi Hilirisasi'!F125</f>
        <v>0</v>
      </c>
      <c r="E329" s="5">
        <f>'[15]Realisasi Hilirisasi'!G125</f>
        <v>0</v>
      </c>
      <c r="F329" s="51">
        <f>IFERROR((InputData[[#This Row],[GROSS PROFIT]]/InputData[[#This Row],[REVENUE]])*100%,0)</f>
        <v>0</v>
      </c>
      <c r="G329" s="3" t="str">
        <f>VLOOKUP(InputData[[#This Row],[PRODUCT ID]],Master[],2,0)</f>
        <v>Welded Beam</v>
      </c>
      <c r="H329" s="3" t="str">
        <f>VLOOKUP(InputData[[#This Row],[PRODUCT ID]],Master[],3,0)</f>
        <v>KPdP</v>
      </c>
      <c r="I329" s="3" t="str">
        <f>TEXT(InputData[[#This Row],[MONTH]],"MMMMMM")</f>
        <v>August</v>
      </c>
      <c r="J329" s="3">
        <f>YEAR(InputData[[#This Row],[MONTH]])</f>
        <v>2025</v>
      </c>
      <c r="K329" s="3" t="str">
        <f>"SMT-"&amp;CHOOSE(MONTH(InputData[[#This Row],[MONTH]]),1,1,1,1,1,1,2,2,2,2,2,2)</f>
        <v>SMT-2</v>
      </c>
      <c r="L329" s="20"/>
    </row>
    <row r="330" spans="1:12">
      <c r="A330" s="4">
        <v>45901</v>
      </c>
      <c r="B330" s="3" t="s">
        <v>4</v>
      </c>
      <c r="C330" s="11">
        <f>'[15]Realisasi Hilirisasi'!E126</f>
        <v>0</v>
      </c>
      <c r="D330" s="7">
        <f>'[15]Realisasi Hilirisasi'!F126</f>
        <v>0</v>
      </c>
      <c r="E330" s="5">
        <f>'[15]Realisasi Hilirisasi'!G126</f>
        <v>0</v>
      </c>
      <c r="F330" s="51">
        <f>IFERROR((InputData[[#This Row],[GROSS PROFIT]]/InputData[[#This Row],[REVENUE]])*100%,0)</f>
        <v>0</v>
      </c>
      <c r="G330" s="3" t="str">
        <f>VLOOKUP(InputData[[#This Row],[PRODUCT ID]],Master[],2,0)</f>
        <v>Tower</v>
      </c>
      <c r="H330" s="3" t="str">
        <f>VLOOKUP(InputData[[#This Row],[PRODUCT ID]],Master[],3,0)</f>
        <v>KBK</v>
      </c>
      <c r="I330" s="3" t="str">
        <f>TEXT(InputData[[#This Row],[MONTH]],"MMMMMM")</f>
        <v>September</v>
      </c>
      <c r="J330" s="3">
        <f>YEAR(InputData[[#This Row],[MONTH]])</f>
        <v>2025</v>
      </c>
      <c r="K330" s="3" t="str">
        <f>"SMT-"&amp;CHOOSE(MONTH(InputData[[#This Row],[MONTH]]),1,1,1,1,1,1,2,2,2,2,2,2)</f>
        <v>SMT-2</v>
      </c>
      <c r="L330" s="20"/>
    </row>
    <row r="331" spans="1:12">
      <c r="A331" s="4">
        <v>45901</v>
      </c>
      <c r="B331" s="3" t="s">
        <v>9</v>
      </c>
      <c r="C331" s="11">
        <f>'[15]Realisasi Hilirisasi'!E127</f>
        <v>56.323</v>
      </c>
      <c r="D331" s="7">
        <f>'[15]Realisasi Hilirisasi'!F127</f>
        <v>2511505257</v>
      </c>
      <c r="E331" s="5">
        <f>'[15]Realisasi Hilirisasi'!G127</f>
        <v>252873761.93000007</v>
      </c>
      <c r="F331" s="51">
        <f>IFERROR((InputData[[#This Row],[GROSS PROFIT]]/InputData[[#This Row],[REVENUE]])*100%,0)</f>
        <v>0.10068613681982035</v>
      </c>
      <c r="G331" s="3" t="str">
        <f>VLOOKUP(InputData[[#This Row],[PRODUCT ID]],Master[],2,0)</f>
        <v>Steel Structure</v>
      </c>
      <c r="H331" s="3" t="str">
        <f>VLOOKUP(InputData[[#This Row],[PRODUCT ID]],Master[],3,0)</f>
        <v>KBK</v>
      </c>
      <c r="I331" s="3" t="str">
        <f>TEXT(InputData[[#This Row],[MONTH]],"MMMMMM")</f>
        <v>September</v>
      </c>
      <c r="J331" s="3">
        <f>YEAR(InputData[[#This Row],[MONTH]])</f>
        <v>2025</v>
      </c>
      <c r="K331" s="3" t="str">
        <f>"SMT-"&amp;CHOOSE(MONTH(InputData[[#This Row],[MONTH]]),1,1,1,1,1,1,2,2,2,2,2,2)</f>
        <v>SMT-2</v>
      </c>
      <c r="L331" s="20"/>
    </row>
    <row r="332" spans="1:12">
      <c r="A332" s="4">
        <v>45901</v>
      </c>
      <c r="B332" s="3" t="s">
        <v>22</v>
      </c>
      <c r="C332" s="11">
        <f>'[15]Realisasi Hilirisasi'!E128</f>
        <v>0</v>
      </c>
      <c r="D332" s="7">
        <f>'[15]Realisasi Hilirisasi'!F128</f>
        <v>0</v>
      </c>
      <c r="E332" s="5">
        <f>'[15]Realisasi Hilirisasi'!G128</f>
        <v>0</v>
      </c>
      <c r="F332" s="51">
        <f>IFERROR((InputData[[#This Row],[GROSS PROFIT]]/InputData[[#This Row],[REVENUE]])*100%,0)</f>
        <v>0</v>
      </c>
      <c r="G332" s="3" t="str">
        <f>VLOOKUP(InputData[[#This Row],[PRODUCT ID]],Master[],2,0)</f>
        <v>Modular</v>
      </c>
      <c r="H332" s="3" t="str">
        <f>VLOOKUP(InputData[[#This Row],[PRODUCT ID]],Master[],3,0)</f>
        <v>KBK</v>
      </c>
      <c r="I332" s="3" t="str">
        <f>TEXT(InputData[[#This Row],[MONTH]],"MMMMMM")</f>
        <v>September</v>
      </c>
      <c r="J332" s="3">
        <f>YEAR(InputData[[#This Row],[MONTH]])</f>
        <v>2025</v>
      </c>
      <c r="K332" s="3" t="str">
        <f>"SMT-"&amp;CHOOSE(MONTH(InputData[[#This Row],[MONTH]]),1,1,1,1,1,1,2,2,2,2,2,2)</f>
        <v>SMT-2</v>
      </c>
      <c r="L332" s="20"/>
    </row>
    <row r="333" spans="1:12">
      <c r="A333" s="4">
        <v>45901</v>
      </c>
      <c r="B333" s="3" t="s">
        <v>11</v>
      </c>
      <c r="C333" s="11">
        <f>'[15]Realisasi Hilirisasi'!E129</f>
        <v>475.58639999999997</v>
      </c>
      <c r="D333" s="7">
        <f>'[15]Realisasi Hilirisasi'!F129</f>
        <v>6856963100</v>
      </c>
      <c r="E333" s="5">
        <f>'[15]Realisasi Hilirisasi'!G129</f>
        <v>502230400</v>
      </c>
      <c r="F333" s="51">
        <f>IFERROR((InputData[[#This Row],[GROSS PROFIT]]/InputData[[#This Row],[REVENUE]])*100%,0)</f>
        <v>7.3243853390431685E-2</v>
      </c>
      <c r="G333" s="3" t="str">
        <f>VLOOKUP(InputData[[#This Row],[PRODUCT ID]],Master[],2,0)</f>
        <v>Steel Creative &amp; Component</v>
      </c>
      <c r="H333" s="3" t="str">
        <f>VLOOKUP(InputData[[#This Row],[PRODUCT ID]],Master[],3,0)</f>
        <v>KBK</v>
      </c>
      <c r="I333" s="3" t="str">
        <f>TEXT(InputData[[#This Row],[MONTH]],"MMMMMM")</f>
        <v>September</v>
      </c>
      <c r="J333" s="3">
        <f>YEAR(InputData[[#This Row],[MONTH]])</f>
        <v>2025</v>
      </c>
      <c r="K333" s="3" t="str">
        <f>"SMT-"&amp;CHOOSE(MONTH(InputData[[#This Row],[MONTH]]),1,1,1,1,1,1,2,2,2,2,2,2)</f>
        <v>SMT-2</v>
      </c>
      <c r="L333" s="20"/>
    </row>
    <row r="334" spans="1:12">
      <c r="A334" s="4">
        <v>45901</v>
      </c>
      <c r="B334" s="3" t="s">
        <v>24</v>
      </c>
      <c r="C334" s="11">
        <f>'[15]Realisasi Hilirisasi'!E130</f>
        <v>0</v>
      </c>
      <c r="D334" s="7">
        <f>'[15]Realisasi Hilirisasi'!F130</f>
        <v>0</v>
      </c>
      <c r="E334" s="5">
        <f>'[15]Realisasi Hilirisasi'!G130</f>
        <v>0</v>
      </c>
      <c r="F334" s="51">
        <f>IFERROR((InputData[[#This Row],[GROSS PROFIT]]/InputData[[#This Row],[REVENUE]])*100%,0)</f>
        <v>0</v>
      </c>
      <c r="G334" s="3" t="str">
        <f>VLOOKUP(InputData[[#This Row],[PRODUCT ID]],Master[],2,0)</f>
        <v>Cut to Lenght</v>
      </c>
      <c r="H334" s="3" t="str">
        <f>VLOOKUP(InputData[[#This Row],[PRODUCT ID]],Master[],3,0)</f>
        <v>KBK</v>
      </c>
      <c r="I334" s="3" t="str">
        <f>TEXT(InputData[[#This Row],[MONTH]],"MMMMMM")</f>
        <v>September</v>
      </c>
      <c r="J334" s="3">
        <f>YEAR(InputData[[#This Row],[MONTH]])</f>
        <v>2025</v>
      </c>
      <c r="K334" s="3" t="str">
        <f>"SMT-"&amp;CHOOSE(MONTH(InputData[[#This Row],[MONTH]]),1,1,1,1,1,1,2,2,2,2,2,2)</f>
        <v>SMT-2</v>
      </c>
      <c r="L334" s="20"/>
    </row>
    <row r="335" spans="1:12">
      <c r="A335" s="4">
        <v>45901</v>
      </c>
      <c r="B335" s="3" t="s">
        <v>12</v>
      </c>
      <c r="C335" s="11">
        <f>'[15]Realisasi Hilirisasi'!E131</f>
        <v>98.74</v>
      </c>
      <c r="D335" s="7">
        <f>'[15]Realisasi Hilirisasi'!F131</f>
        <v>1711603970</v>
      </c>
      <c r="E335" s="5">
        <f>'[15]Realisasi Hilirisasi'!G131</f>
        <v>24586260</v>
      </c>
      <c r="F335" s="51">
        <f>IFERROR((InputData[[#This Row],[GROSS PROFIT]]/InputData[[#This Row],[REVENUE]])*100%,0)</f>
        <v>1.4364456048790305E-2</v>
      </c>
      <c r="G335" s="3" t="str">
        <f>VLOOKUP(InputData[[#This Row],[PRODUCT ID]],Master[],2,0)</f>
        <v>Electric Pole</v>
      </c>
      <c r="H335" s="3" t="str">
        <f>VLOOKUP(InputData[[#This Row],[PRODUCT ID]],Master[],3,0)</f>
        <v>KPI</v>
      </c>
      <c r="I335" s="3" t="str">
        <f>TEXT(InputData[[#This Row],[MONTH]],"MMMMMM")</f>
        <v>September</v>
      </c>
      <c r="J335" s="3">
        <f>YEAR(InputData[[#This Row],[MONTH]])</f>
        <v>2025</v>
      </c>
      <c r="K335" s="3" t="str">
        <f>"SMT-"&amp;CHOOSE(MONTH(InputData[[#This Row],[MONTH]]),1,1,1,1,1,1,2,2,2,2,2,2)</f>
        <v>SMT-2</v>
      </c>
      <c r="L335" s="20"/>
    </row>
    <row r="336" spans="1:12">
      <c r="A336" s="4">
        <v>45901</v>
      </c>
      <c r="B336" s="3" t="s">
        <v>14</v>
      </c>
      <c r="C336" s="11">
        <f>'[15]Realisasi Hilirisasi'!E132</f>
        <v>0</v>
      </c>
      <c r="D336" s="7">
        <f>'[15]Realisasi Hilirisasi'!F132</f>
        <v>0</v>
      </c>
      <c r="E336" s="5">
        <f>'[15]Realisasi Hilirisasi'!G132</f>
        <v>0</v>
      </c>
      <c r="F336" s="51">
        <f>IFERROR((InputData[[#This Row],[GROSS PROFIT]]/InputData[[#This Row],[REVENUE]])*100%,0)</f>
        <v>0</v>
      </c>
      <c r="G336" s="3" t="str">
        <f>VLOOKUP(InputData[[#This Row],[PRODUCT ID]],Master[],2,0)</f>
        <v>Fiber Optic Pole</v>
      </c>
      <c r="H336" s="3" t="str">
        <f>VLOOKUP(InputData[[#This Row],[PRODUCT ID]],Master[],3,0)</f>
        <v>KPI</v>
      </c>
      <c r="I336" s="3" t="str">
        <f>TEXT(InputData[[#This Row],[MONTH]],"MMMMMM")</f>
        <v>September</v>
      </c>
      <c r="J336" s="3">
        <f>YEAR(InputData[[#This Row],[MONTH]])</f>
        <v>2025</v>
      </c>
      <c r="K336" s="3" t="str">
        <f>"SMT-"&amp;CHOOSE(MONTH(InputData[[#This Row],[MONTH]]),1,1,1,1,1,1,2,2,2,2,2,2)</f>
        <v>SMT-2</v>
      </c>
      <c r="L336" s="20"/>
    </row>
    <row r="337" spans="1:12">
      <c r="A337" s="4">
        <v>45901</v>
      </c>
      <c r="B337" s="3" t="s">
        <v>17</v>
      </c>
      <c r="C337" s="11">
        <f>'[15]Realisasi Hilirisasi'!E133</f>
        <v>0</v>
      </c>
      <c r="D337" s="7">
        <f>'[15]Realisasi Hilirisasi'!F133</f>
        <v>0</v>
      </c>
      <c r="E337" s="5">
        <f>'[15]Realisasi Hilirisasi'!G133</f>
        <v>0</v>
      </c>
      <c r="F337" s="51">
        <f>IFERROR((InputData[[#This Row],[GROSS PROFIT]]/InputData[[#This Row],[REVENUE]])*100%,0)</f>
        <v>0</v>
      </c>
      <c r="G337" s="3" t="str">
        <f>VLOOKUP(InputData[[#This Row],[PRODUCT ID]],Master[],2,0)</f>
        <v>Bends Pipe</v>
      </c>
      <c r="H337" s="3" t="str">
        <f>VLOOKUP(InputData[[#This Row],[PRODUCT ID]],Master[],3,0)</f>
        <v>KPI</v>
      </c>
      <c r="I337" s="3" t="str">
        <f>TEXT(InputData[[#This Row],[MONTH]],"MMMMMM")</f>
        <v>September</v>
      </c>
      <c r="J337" s="3">
        <f>YEAR(InputData[[#This Row],[MONTH]])</f>
        <v>2025</v>
      </c>
      <c r="K337" s="3" t="str">
        <f>"SMT-"&amp;CHOOSE(MONTH(InputData[[#This Row],[MONTH]]),1,1,1,1,1,1,2,2,2,2,2,2)</f>
        <v>SMT-2</v>
      </c>
      <c r="L337" s="20"/>
    </row>
    <row r="338" spans="1:12">
      <c r="A338" s="4">
        <v>45901</v>
      </c>
      <c r="B338" s="3" t="s">
        <v>16</v>
      </c>
      <c r="C338" s="11">
        <f>'[15]Realisasi Hilirisasi'!E134</f>
        <v>0</v>
      </c>
      <c r="D338" s="7">
        <f>'[15]Realisasi Hilirisasi'!F134</f>
        <v>0</v>
      </c>
      <c r="E338" s="5">
        <f>'[15]Realisasi Hilirisasi'!G134</f>
        <v>0</v>
      </c>
      <c r="F338" s="51">
        <f>IFERROR((InputData[[#This Row],[GROSS PROFIT]]/InputData[[#This Row],[REVENUE]])*100%,0)</f>
        <v>0</v>
      </c>
      <c r="G338" s="3" t="str">
        <f>VLOOKUP(InputData[[#This Row],[PRODUCT ID]],Master[],2,0)</f>
        <v>Seamless Pipe</v>
      </c>
      <c r="H338" s="3" t="str">
        <f>VLOOKUP(InputData[[#This Row],[PRODUCT ID]],Master[],3,0)</f>
        <v>KPI</v>
      </c>
      <c r="I338" s="3" t="str">
        <f>TEXT(InputData[[#This Row],[MONTH]],"MMMMMM")</f>
        <v>September</v>
      </c>
      <c r="J338" s="3">
        <f>YEAR(InputData[[#This Row],[MONTH]])</f>
        <v>2025</v>
      </c>
      <c r="K338" s="3" t="str">
        <f>"SMT-"&amp;CHOOSE(MONTH(InputData[[#This Row],[MONTH]]),1,1,1,1,1,1,2,2,2,2,2,2)</f>
        <v>SMT-2</v>
      </c>
      <c r="L338" s="20"/>
    </row>
    <row r="339" spans="1:12">
      <c r="A339" s="4">
        <v>45901</v>
      </c>
      <c r="B339" s="3" t="s">
        <v>19</v>
      </c>
      <c r="C339" s="11">
        <f>'[15]Realisasi Hilirisasi'!E135</f>
        <v>297.3886445</v>
      </c>
      <c r="D339" s="7">
        <f>'[15]Realisasi Hilirisasi'!F135</f>
        <v>4870875605.8876419</v>
      </c>
      <c r="E339" s="5">
        <f>'[15]Realisasi Hilirisasi'!G135</f>
        <v>71983383.338240519</v>
      </c>
      <c r="F339" s="51">
        <f>IFERROR((InputData[[#This Row],[GROSS PROFIT]]/InputData[[#This Row],[REVENUE]])*100%,0)</f>
        <v>1.4778325123152608E-2</v>
      </c>
      <c r="G339" s="3" t="str">
        <f>VLOOKUP(InputData[[#This Row],[PRODUCT ID]],Master[],2,0)</f>
        <v>Baja Ringan</v>
      </c>
      <c r="H339" s="3" t="str">
        <f>VLOOKUP(InputData[[#This Row],[PRODUCT ID]],Master[],3,0)</f>
        <v>KNI</v>
      </c>
      <c r="I339" s="3" t="str">
        <f>TEXT(InputData[[#This Row],[MONTH]],"MMMMMM")</f>
        <v>September</v>
      </c>
      <c r="J339" s="3">
        <f>YEAR(InputData[[#This Row],[MONTH]])</f>
        <v>2025</v>
      </c>
      <c r="K339" s="3" t="str">
        <f>"SMT-"&amp;CHOOSE(MONTH(InputData[[#This Row],[MONTH]]),1,1,1,1,1,1,2,2,2,2,2,2)</f>
        <v>SMT-2</v>
      </c>
      <c r="L339" s="20"/>
    </row>
    <row r="340" spans="1:12">
      <c r="A340" s="4">
        <v>45901</v>
      </c>
      <c r="B340" s="3" t="s">
        <v>75</v>
      </c>
      <c r="C340" s="11">
        <f>'[15]Realisasi Hilirisasi'!E136</f>
        <v>0</v>
      </c>
      <c r="D340" s="7">
        <f>'[15]Realisasi Hilirisasi'!F136</f>
        <v>0</v>
      </c>
      <c r="E340" s="5">
        <f>'[15]Realisasi Hilirisasi'!G136</f>
        <v>0</v>
      </c>
      <c r="F340" s="51">
        <f>IFERROR((InputData[[#This Row],[GROSS PROFIT]]/InputData[[#This Row],[REVENUE]])*100%,0)</f>
        <v>0</v>
      </c>
      <c r="G340" s="3" t="str">
        <f>VLOOKUP(InputData[[#This Row],[PRODUCT ID]],Master[],2,0)</f>
        <v>Floordeck</v>
      </c>
      <c r="H340" s="3" t="str">
        <f>VLOOKUP(InputData[[#This Row],[PRODUCT ID]],Master[],3,0)</f>
        <v>KNI</v>
      </c>
      <c r="I340" s="3" t="str">
        <f>TEXT(InputData[[#This Row],[MONTH]],"MMMMMM")</f>
        <v>September</v>
      </c>
      <c r="J340" s="3">
        <f>YEAR(InputData[[#This Row],[MONTH]])</f>
        <v>2025</v>
      </c>
      <c r="K340" s="3" t="str">
        <f>"SMT-"&amp;CHOOSE(MONTH(InputData[[#This Row],[MONTH]]),1,1,1,1,1,1,2,2,2,2,2,2)</f>
        <v>SMT-2</v>
      </c>
      <c r="L340" s="20"/>
    </row>
    <row r="341" spans="1:12">
      <c r="A341" s="4">
        <v>45901</v>
      </c>
      <c r="B341" s="3" t="s">
        <v>18</v>
      </c>
      <c r="C341" s="11">
        <f>'[15]Realisasi Hilirisasi'!E137</f>
        <v>0</v>
      </c>
      <c r="D341" s="7">
        <f>'[15]Realisasi Hilirisasi'!F137</f>
        <v>0</v>
      </c>
      <c r="E341" s="5">
        <f>'[15]Realisasi Hilirisasi'!G137</f>
        <v>0</v>
      </c>
      <c r="F341" s="51">
        <f>IFERROR((InputData[[#This Row],[GROSS PROFIT]]/InputData[[#This Row],[REVENUE]])*100%,0)</f>
        <v>0</v>
      </c>
      <c r="G341" s="3" t="str">
        <f>VLOOKUP(InputData[[#This Row],[PRODUCT ID]],Master[],2,0)</f>
        <v>Galvanized &amp; Galvalume</v>
      </c>
      <c r="H341" s="3" t="str">
        <f>VLOOKUP(InputData[[#This Row],[PRODUCT ID]],Master[],3,0)</f>
        <v>KNI</v>
      </c>
      <c r="I341" s="3" t="str">
        <f>TEXT(InputData[[#This Row],[MONTH]],"MMMMMM")</f>
        <v>September</v>
      </c>
      <c r="J341" s="3">
        <f>YEAR(InputData[[#This Row],[MONTH]])</f>
        <v>2025</v>
      </c>
      <c r="K341" s="3" t="str">
        <f>"SMT-"&amp;CHOOSE(MONTH(InputData[[#This Row],[MONTH]]),1,1,1,1,1,1,2,2,2,2,2,2)</f>
        <v>SMT-2</v>
      </c>
      <c r="L341" s="20"/>
    </row>
    <row r="342" spans="1:12">
      <c r="A342" s="4">
        <v>45901</v>
      </c>
      <c r="B342" s="3" t="s">
        <v>20</v>
      </c>
      <c r="C342" s="11">
        <f>'[15]Realisasi Hilirisasi'!E138</f>
        <v>12.661</v>
      </c>
      <c r="D342" s="7">
        <f>'[15]Realisasi Hilirisasi'!F138</f>
        <v>141662930</v>
      </c>
      <c r="E342" s="5">
        <f>'[15]Realisasi Hilirisasi'!G138</f>
        <v>18457447</v>
      </c>
      <c r="F342" s="51">
        <f>IFERROR((InputData[[#This Row],[GROSS PROFIT]]/InputData[[#This Row],[REVENUE]])*100%,0)</f>
        <v>0.13029129780105494</v>
      </c>
      <c r="G342" s="3" t="str">
        <f>VLOOKUP(InputData[[#This Row],[PRODUCT ID]],Master[],2,0)</f>
        <v>CNP</v>
      </c>
      <c r="H342" s="3" t="str">
        <f>VLOOKUP(InputData[[#This Row],[PRODUCT ID]],Master[],3,0)</f>
        <v>KNI</v>
      </c>
      <c r="I342" s="3" t="str">
        <f>TEXT(InputData[[#This Row],[MONTH]],"MMMMMM")</f>
        <v>September</v>
      </c>
      <c r="J342" s="3">
        <f>YEAR(InputData[[#This Row],[MONTH]])</f>
        <v>2025</v>
      </c>
      <c r="K342" s="3" t="str">
        <f>"SMT-"&amp;CHOOSE(MONTH(InputData[[#This Row],[MONTH]]),1,1,1,1,1,1,2,2,2,2,2,2)</f>
        <v>SMT-2</v>
      </c>
      <c r="L342" s="20"/>
    </row>
    <row r="343" spans="1:12">
      <c r="A343" s="4">
        <v>45901</v>
      </c>
      <c r="B343" s="3" t="s">
        <v>23</v>
      </c>
      <c r="C343" s="11">
        <f>'[15]Realisasi Hilirisasi'!E139</f>
        <v>327.15540000000004</v>
      </c>
      <c r="D343" s="7">
        <f>'[15]Realisasi Hilirisasi'!F139</f>
        <v>4151815382.1999998</v>
      </c>
      <c r="E343" s="5">
        <f>'[15]Realisasi Hilirisasi'!G139</f>
        <v>162134888.40000001</v>
      </c>
      <c r="F343" s="51">
        <f>IFERROR((InputData[[#This Row],[GROSS PROFIT]]/InputData[[#This Row],[REVENUE]])*100%,0)</f>
        <v>3.9051565032279099E-2</v>
      </c>
      <c r="G343" s="3" t="str">
        <f>VLOOKUP(InputData[[#This Row],[PRODUCT ID]],Master[],2,0)</f>
        <v>Other Product</v>
      </c>
      <c r="H343" s="3" t="str">
        <f>VLOOKUP(InputData[[#This Row],[PRODUCT ID]],Master[],3,0)</f>
        <v>KNI</v>
      </c>
      <c r="I343" s="3" t="str">
        <f>TEXT(InputData[[#This Row],[MONTH]],"MMMMMM")</f>
        <v>September</v>
      </c>
      <c r="J343" s="3">
        <f>YEAR(InputData[[#This Row],[MONTH]])</f>
        <v>2025</v>
      </c>
      <c r="K343" s="3" t="str">
        <f>"SMT-"&amp;CHOOSE(MONTH(InputData[[#This Row],[MONTH]]),1,1,1,1,1,1,2,2,2,2,2,2)</f>
        <v>SMT-2</v>
      </c>
      <c r="L343" s="20"/>
    </row>
    <row r="344" spans="1:12">
      <c r="A344" s="4">
        <v>45901</v>
      </c>
      <c r="B344" s="3" t="s">
        <v>21</v>
      </c>
      <c r="C344" s="11">
        <f>'[15]Realisasi Hilirisasi'!E140</f>
        <v>0</v>
      </c>
      <c r="D344" s="7">
        <f>'[15]Realisasi Hilirisasi'!F140</f>
        <v>0</v>
      </c>
      <c r="E344" s="5">
        <f>'[15]Realisasi Hilirisasi'!G140</f>
        <v>0</v>
      </c>
      <c r="F344" s="51">
        <f>IFERROR((InputData[[#This Row],[GROSS PROFIT]]/InputData[[#This Row],[REVENUE]])*100%,0)</f>
        <v>0</v>
      </c>
      <c r="G344" s="3" t="str">
        <f>VLOOKUP(InputData[[#This Row],[PRODUCT ID]],Master[],2,0)</f>
        <v>Welded Beam</v>
      </c>
      <c r="H344" s="3" t="str">
        <f>VLOOKUP(InputData[[#This Row],[PRODUCT ID]],Master[],3,0)</f>
        <v>KPdP</v>
      </c>
      <c r="I344" s="3" t="str">
        <f>TEXT(InputData[[#This Row],[MONTH]],"MMMMMM")</f>
        <v>September</v>
      </c>
      <c r="J344" s="3">
        <f>YEAR(InputData[[#This Row],[MONTH]])</f>
        <v>2025</v>
      </c>
      <c r="K344" s="3" t="str">
        <f>"SMT-"&amp;CHOOSE(MONTH(InputData[[#This Row],[MONTH]]),1,1,1,1,1,1,2,2,2,2,2,2)</f>
        <v>SMT-2</v>
      </c>
      <c r="L344" s="20"/>
    </row>
    <row r="345" spans="1:12">
      <c r="A345" s="4">
        <v>45931</v>
      </c>
      <c r="B345" s="3" t="s">
        <v>4</v>
      </c>
      <c r="C345" s="11">
        <f>'[15]Realisasi Hilirisasi'!E141</f>
        <v>0</v>
      </c>
      <c r="D345" s="7">
        <f>'[15]Realisasi Hilirisasi'!F141</f>
        <v>0</v>
      </c>
      <c r="E345" s="5">
        <f>'[15]Realisasi Hilirisasi'!G141</f>
        <v>0</v>
      </c>
      <c r="F345" s="51">
        <f>IFERROR((InputData[[#This Row],[GROSS PROFIT]]/InputData[[#This Row],[REVENUE]])*100%,0)</f>
        <v>0</v>
      </c>
      <c r="G345" s="3" t="str">
        <f>VLOOKUP(InputData[[#This Row],[PRODUCT ID]],Master[],2,0)</f>
        <v>Tower</v>
      </c>
      <c r="H345" s="3" t="str">
        <f>VLOOKUP(InputData[[#This Row],[PRODUCT ID]],Master[],3,0)</f>
        <v>KBK</v>
      </c>
      <c r="I345" s="3" t="str">
        <f>TEXT(InputData[[#This Row],[MONTH]],"MMMMMM")</f>
        <v>October</v>
      </c>
      <c r="J345" s="3">
        <f>YEAR(InputData[[#This Row],[MONTH]])</f>
        <v>2025</v>
      </c>
      <c r="K345" s="3" t="str">
        <f>"SMT-"&amp;CHOOSE(MONTH(InputData[[#This Row],[MONTH]]),1,1,1,1,1,1,2,2,2,2,2,2)</f>
        <v>SMT-2</v>
      </c>
      <c r="L345" s="20"/>
    </row>
    <row r="346" spans="1:12">
      <c r="A346" s="4">
        <v>45931</v>
      </c>
      <c r="B346" s="3" t="s">
        <v>9</v>
      </c>
      <c r="C346" s="11">
        <f>'[15]Realisasi Hilirisasi'!E142</f>
        <v>386.46155692857144</v>
      </c>
      <c r="D346" s="7">
        <f>'[15]Realisasi Hilirisasi'!F142</f>
        <v>10772551726.99</v>
      </c>
      <c r="E346" s="5">
        <f>'[15]Realisasi Hilirisasi'!G142</f>
        <v>-1085517339.1000004</v>
      </c>
      <c r="F346" s="51">
        <f>IFERROR((InputData[[#This Row],[GROSS PROFIT]]/InputData[[#This Row],[REVENUE]])*100%,0)</f>
        <v>-0.10076696465335136</v>
      </c>
      <c r="G346" s="3" t="str">
        <f>VLOOKUP(InputData[[#This Row],[PRODUCT ID]],Master[],2,0)</f>
        <v>Steel Structure</v>
      </c>
      <c r="H346" s="3" t="str">
        <f>VLOOKUP(InputData[[#This Row],[PRODUCT ID]],Master[],3,0)</f>
        <v>KBK</v>
      </c>
      <c r="I346" s="3" t="str">
        <f>TEXT(InputData[[#This Row],[MONTH]],"MMMMMM")</f>
        <v>October</v>
      </c>
      <c r="J346" s="3">
        <f>YEAR(InputData[[#This Row],[MONTH]])</f>
        <v>2025</v>
      </c>
      <c r="K346" s="3" t="str">
        <f>"SMT-"&amp;CHOOSE(MONTH(InputData[[#This Row],[MONTH]]),1,1,1,1,1,1,2,2,2,2,2,2)</f>
        <v>SMT-2</v>
      </c>
      <c r="L346" s="20"/>
    </row>
    <row r="347" spans="1:12">
      <c r="A347" s="4">
        <v>45931</v>
      </c>
      <c r="B347" s="3" t="s">
        <v>22</v>
      </c>
      <c r="C347" s="11">
        <f>'[15]Realisasi Hilirisasi'!E143</f>
        <v>0</v>
      </c>
      <c r="D347" s="7">
        <f>'[15]Realisasi Hilirisasi'!F143</f>
        <v>0</v>
      </c>
      <c r="E347" s="5">
        <f>'[15]Realisasi Hilirisasi'!G143</f>
        <v>0</v>
      </c>
      <c r="F347" s="51">
        <f>IFERROR((InputData[[#This Row],[GROSS PROFIT]]/InputData[[#This Row],[REVENUE]])*100%,0)</f>
        <v>0</v>
      </c>
      <c r="G347" s="3" t="str">
        <f>VLOOKUP(InputData[[#This Row],[PRODUCT ID]],Master[],2,0)</f>
        <v>Modular</v>
      </c>
      <c r="H347" s="3" t="str">
        <f>VLOOKUP(InputData[[#This Row],[PRODUCT ID]],Master[],3,0)</f>
        <v>KBK</v>
      </c>
      <c r="I347" s="3" t="str">
        <f>TEXT(InputData[[#This Row],[MONTH]],"MMMMMM")</f>
        <v>October</v>
      </c>
      <c r="J347" s="3">
        <f>YEAR(InputData[[#This Row],[MONTH]])</f>
        <v>2025</v>
      </c>
      <c r="K347" s="3" t="str">
        <f>"SMT-"&amp;CHOOSE(MONTH(InputData[[#This Row],[MONTH]]),1,1,1,1,1,1,2,2,2,2,2,2)</f>
        <v>SMT-2</v>
      </c>
      <c r="L347" s="20"/>
    </row>
    <row r="348" spans="1:12">
      <c r="A348" s="4">
        <v>45931</v>
      </c>
      <c r="B348" s="3" t="s">
        <v>11</v>
      </c>
      <c r="C348" s="11">
        <f>'[15]Realisasi Hilirisasi'!E144</f>
        <v>520.54669000000001</v>
      </c>
      <c r="D348" s="7">
        <f>'[15]Realisasi Hilirisasi'!F144</f>
        <v>6978494539.7399998</v>
      </c>
      <c r="E348" s="5">
        <f>'[15]Realisasi Hilirisasi'!G144</f>
        <v>-98446933.760999918</v>
      </c>
      <c r="F348" s="51">
        <f>IFERROR((InputData[[#This Row],[GROSS PROFIT]]/InputData[[#This Row],[REVENUE]])*100%,0)</f>
        <v>-1.4107187904265064E-2</v>
      </c>
      <c r="G348" s="3" t="str">
        <f>VLOOKUP(InputData[[#This Row],[PRODUCT ID]],Master[],2,0)</f>
        <v>Steel Creative &amp; Component</v>
      </c>
      <c r="H348" s="3" t="str">
        <f>VLOOKUP(InputData[[#This Row],[PRODUCT ID]],Master[],3,0)</f>
        <v>KBK</v>
      </c>
      <c r="I348" s="3" t="str">
        <f>TEXT(InputData[[#This Row],[MONTH]],"MMMMMM")</f>
        <v>October</v>
      </c>
      <c r="J348" s="3">
        <f>YEAR(InputData[[#This Row],[MONTH]])</f>
        <v>2025</v>
      </c>
      <c r="K348" s="3" t="str">
        <f>"SMT-"&amp;CHOOSE(MONTH(InputData[[#This Row],[MONTH]]),1,1,1,1,1,1,2,2,2,2,2,2)</f>
        <v>SMT-2</v>
      </c>
      <c r="L348" s="20"/>
    </row>
    <row r="349" spans="1:12">
      <c r="A349" s="4">
        <v>45931</v>
      </c>
      <c r="B349" s="3" t="s">
        <v>24</v>
      </c>
      <c r="C349" s="11">
        <f>'[15]Realisasi Hilirisasi'!E145</f>
        <v>0</v>
      </c>
      <c r="D349" s="7">
        <f>'[15]Realisasi Hilirisasi'!F145</f>
        <v>0</v>
      </c>
      <c r="E349" s="5">
        <f>'[15]Realisasi Hilirisasi'!G145</f>
        <v>0</v>
      </c>
      <c r="F349" s="51">
        <f>IFERROR((InputData[[#This Row],[GROSS PROFIT]]/InputData[[#This Row],[REVENUE]])*100%,0)</f>
        <v>0</v>
      </c>
      <c r="G349" s="3" t="str">
        <f>VLOOKUP(InputData[[#This Row],[PRODUCT ID]],Master[],2,0)</f>
        <v>Cut to Lenght</v>
      </c>
      <c r="H349" s="3" t="str">
        <f>VLOOKUP(InputData[[#This Row],[PRODUCT ID]],Master[],3,0)</f>
        <v>KBK</v>
      </c>
      <c r="I349" s="3" t="str">
        <f>TEXT(InputData[[#This Row],[MONTH]],"MMMMMM")</f>
        <v>October</v>
      </c>
      <c r="J349" s="3">
        <f>YEAR(InputData[[#This Row],[MONTH]])</f>
        <v>2025</v>
      </c>
      <c r="K349" s="3" t="str">
        <f>"SMT-"&amp;CHOOSE(MONTH(InputData[[#This Row],[MONTH]]),1,1,1,1,1,1,2,2,2,2,2,2)</f>
        <v>SMT-2</v>
      </c>
      <c r="L349" s="20"/>
    </row>
    <row r="350" spans="1:12">
      <c r="A350" s="4">
        <v>45931</v>
      </c>
      <c r="B350" s="3" t="s">
        <v>12</v>
      </c>
      <c r="C350" s="11">
        <f>'[15]Realisasi Hilirisasi'!E146</f>
        <v>23.3</v>
      </c>
      <c r="D350" s="7">
        <f>'[15]Realisasi Hilirisasi'!F146</f>
        <v>416365700</v>
      </c>
      <c r="E350" s="5">
        <f>'[15]Realisasi Hilirisasi'!G146</f>
        <v>581090</v>
      </c>
      <c r="F350" s="51">
        <f>IFERROR((InputData[[#This Row],[GROSS PROFIT]]/InputData[[#This Row],[REVENUE]])*100%,0)</f>
        <v>1.3956240871906595E-3</v>
      </c>
      <c r="G350" s="3" t="str">
        <f>VLOOKUP(InputData[[#This Row],[PRODUCT ID]],Master[],2,0)</f>
        <v>Electric Pole</v>
      </c>
      <c r="H350" s="3" t="str">
        <f>VLOOKUP(InputData[[#This Row],[PRODUCT ID]],Master[],3,0)</f>
        <v>KPI</v>
      </c>
      <c r="I350" s="3" t="str">
        <f>TEXT(InputData[[#This Row],[MONTH]],"MMMMMM")</f>
        <v>October</v>
      </c>
      <c r="J350" s="3">
        <f>YEAR(InputData[[#This Row],[MONTH]])</f>
        <v>2025</v>
      </c>
      <c r="K350" s="3" t="str">
        <f>"SMT-"&amp;CHOOSE(MONTH(InputData[[#This Row],[MONTH]]),1,1,1,1,1,1,2,2,2,2,2,2)</f>
        <v>SMT-2</v>
      </c>
      <c r="L350" s="20"/>
    </row>
    <row r="351" spans="1:12">
      <c r="A351" s="4">
        <v>45931</v>
      </c>
      <c r="B351" s="3" t="s">
        <v>14</v>
      </c>
      <c r="C351" s="11">
        <f>'[15]Realisasi Hilirisasi'!E147</f>
        <v>0</v>
      </c>
      <c r="D351" s="7">
        <f>'[15]Realisasi Hilirisasi'!F147</f>
        <v>0</v>
      </c>
      <c r="E351" s="5">
        <f>'[15]Realisasi Hilirisasi'!G147</f>
        <v>0</v>
      </c>
      <c r="F351" s="51">
        <f>IFERROR((InputData[[#This Row],[GROSS PROFIT]]/InputData[[#This Row],[REVENUE]])*100%,0)</f>
        <v>0</v>
      </c>
      <c r="G351" s="3" t="str">
        <f>VLOOKUP(InputData[[#This Row],[PRODUCT ID]],Master[],2,0)</f>
        <v>Fiber Optic Pole</v>
      </c>
      <c r="H351" s="3" t="str">
        <f>VLOOKUP(InputData[[#This Row],[PRODUCT ID]],Master[],3,0)</f>
        <v>KPI</v>
      </c>
      <c r="I351" s="3" t="str">
        <f>TEXT(InputData[[#This Row],[MONTH]],"MMMMMM")</f>
        <v>October</v>
      </c>
      <c r="J351" s="3">
        <f>YEAR(InputData[[#This Row],[MONTH]])</f>
        <v>2025</v>
      </c>
      <c r="K351" s="3" t="str">
        <f>"SMT-"&amp;CHOOSE(MONTH(InputData[[#This Row],[MONTH]]),1,1,1,1,1,1,2,2,2,2,2,2)</f>
        <v>SMT-2</v>
      </c>
      <c r="L351" s="20"/>
    </row>
    <row r="352" spans="1:12">
      <c r="A352" s="4">
        <v>45931</v>
      </c>
      <c r="B352" s="3" t="s">
        <v>17</v>
      </c>
      <c r="C352" s="11">
        <f>'[15]Realisasi Hilirisasi'!E148</f>
        <v>0</v>
      </c>
      <c r="D352" s="7">
        <f>'[15]Realisasi Hilirisasi'!F148</f>
        <v>0</v>
      </c>
      <c r="E352" s="5">
        <f>'[15]Realisasi Hilirisasi'!G148</f>
        <v>0</v>
      </c>
      <c r="F352" s="51">
        <f>IFERROR((InputData[[#This Row],[GROSS PROFIT]]/InputData[[#This Row],[REVENUE]])*100%,0)</f>
        <v>0</v>
      </c>
      <c r="G352" s="3" t="str">
        <f>VLOOKUP(InputData[[#This Row],[PRODUCT ID]],Master[],2,0)</f>
        <v>Bends Pipe</v>
      </c>
      <c r="H352" s="3" t="str">
        <f>VLOOKUP(InputData[[#This Row],[PRODUCT ID]],Master[],3,0)</f>
        <v>KPI</v>
      </c>
      <c r="I352" s="3" t="str">
        <f>TEXT(InputData[[#This Row],[MONTH]],"MMMMMM")</f>
        <v>October</v>
      </c>
      <c r="J352" s="3">
        <f>YEAR(InputData[[#This Row],[MONTH]])</f>
        <v>2025</v>
      </c>
      <c r="K352" s="3" t="str">
        <f>"SMT-"&amp;CHOOSE(MONTH(InputData[[#This Row],[MONTH]]),1,1,1,1,1,1,2,2,2,2,2,2)</f>
        <v>SMT-2</v>
      </c>
      <c r="L352" s="20"/>
    </row>
    <row r="353" spans="1:12">
      <c r="A353" s="4">
        <v>45931</v>
      </c>
      <c r="B353" s="3" t="s">
        <v>16</v>
      </c>
      <c r="C353" s="11">
        <f>'[15]Realisasi Hilirisasi'!E149</f>
        <v>2501.4789999999998</v>
      </c>
      <c r="D353" s="7">
        <f>'[15]Realisasi Hilirisasi'!F149</f>
        <v>26320283702</v>
      </c>
      <c r="E353" s="5">
        <f>'[15]Realisasi Hilirisasi'!G149</f>
        <v>2183661479</v>
      </c>
      <c r="F353" s="51">
        <f>IFERROR((InputData[[#This Row],[GROSS PROFIT]]/InputData[[#This Row],[REVENUE]])*100%,0)</f>
        <v>8.2964967388785019E-2</v>
      </c>
      <c r="G353" s="3" t="str">
        <f>VLOOKUP(InputData[[#This Row],[PRODUCT ID]],Master[],2,0)</f>
        <v>Seamless Pipe</v>
      </c>
      <c r="H353" s="3" t="str">
        <f>VLOOKUP(InputData[[#This Row],[PRODUCT ID]],Master[],3,0)</f>
        <v>KPI</v>
      </c>
      <c r="I353" s="3" t="str">
        <f>TEXT(InputData[[#This Row],[MONTH]],"MMMMMM")</f>
        <v>October</v>
      </c>
      <c r="J353" s="3">
        <f>YEAR(InputData[[#This Row],[MONTH]])</f>
        <v>2025</v>
      </c>
      <c r="K353" s="3" t="str">
        <f>"SMT-"&amp;CHOOSE(MONTH(InputData[[#This Row],[MONTH]]),1,1,1,1,1,1,2,2,2,2,2,2)</f>
        <v>SMT-2</v>
      </c>
      <c r="L353" s="20"/>
    </row>
    <row r="354" spans="1:12">
      <c r="A354" s="4">
        <v>45931</v>
      </c>
      <c r="B354" s="3" t="s">
        <v>19</v>
      </c>
      <c r="C354" s="11">
        <f>'[15]Realisasi Hilirisasi'!E150</f>
        <v>364.44071525000004</v>
      </c>
      <c r="D354" s="7">
        <f>'[15]Realisasi Hilirisasi'!F150</f>
        <v>6033992670.1551723</v>
      </c>
      <c r="E354" s="5">
        <f>'[15]Realisasi Hilirisasi'!G150</f>
        <v>89172305.470272884</v>
      </c>
      <c r="F354" s="51">
        <f>IFERROR((InputData[[#This Row],[GROSS PROFIT]]/InputData[[#This Row],[REVENUE]])*100%,0)</f>
        <v>1.477832512315261E-2</v>
      </c>
      <c r="G354" s="3" t="str">
        <f>VLOOKUP(InputData[[#This Row],[PRODUCT ID]],Master[],2,0)</f>
        <v>Baja Ringan</v>
      </c>
      <c r="H354" s="3" t="str">
        <f>VLOOKUP(InputData[[#This Row],[PRODUCT ID]],Master[],3,0)</f>
        <v>KNI</v>
      </c>
      <c r="I354" s="3" t="str">
        <f>TEXT(InputData[[#This Row],[MONTH]],"MMMMMM")</f>
        <v>October</v>
      </c>
      <c r="J354" s="3">
        <f>YEAR(InputData[[#This Row],[MONTH]])</f>
        <v>2025</v>
      </c>
      <c r="K354" s="3" t="str">
        <f>"SMT-"&amp;CHOOSE(MONTH(InputData[[#This Row],[MONTH]]),1,1,1,1,1,1,2,2,2,2,2,2)</f>
        <v>SMT-2</v>
      </c>
      <c r="L354" s="20"/>
    </row>
    <row r="355" spans="1:12">
      <c r="A355" s="4">
        <v>45931</v>
      </c>
      <c r="B355" s="3" t="s">
        <v>75</v>
      </c>
      <c r="C355" s="11">
        <f>'[15]Realisasi Hilirisasi'!E151</f>
        <v>0</v>
      </c>
      <c r="D355" s="7">
        <f>'[15]Realisasi Hilirisasi'!F151</f>
        <v>0</v>
      </c>
      <c r="E355" s="5">
        <f>'[15]Realisasi Hilirisasi'!G151</f>
        <v>0</v>
      </c>
      <c r="F355" s="51">
        <f>IFERROR((InputData[[#This Row],[GROSS PROFIT]]/InputData[[#This Row],[REVENUE]])*100%,0)</f>
        <v>0</v>
      </c>
      <c r="G355" s="3" t="str">
        <f>VLOOKUP(InputData[[#This Row],[PRODUCT ID]],Master[],2,0)</f>
        <v>Floordeck</v>
      </c>
      <c r="H355" s="3" t="str">
        <f>VLOOKUP(InputData[[#This Row],[PRODUCT ID]],Master[],3,0)</f>
        <v>KNI</v>
      </c>
      <c r="I355" s="3" t="str">
        <f>TEXT(InputData[[#This Row],[MONTH]],"MMMMMM")</f>
        <v>October</v>
      </c>
      <c r="J355" s="3">
        <f>YEAR(InputData[[#This Row],[MONTH]])</f>
        <v>2025</v>
      </c>
      <c r="K355" s="3" t="str">
        <f>"SMT-"&amp;CHOOSE(MONTH(InputData[[#This Row],[MONTH]]),1,1,1,1,1,1,2,2,2,2,2,2)</f>
        <v>SMT-2</v>
      </c>
      <c r="L355" s="20"/>
    </row>
    <row r="356" spans="1:12">
      <c r="A356" s="4">
        <v>45931</v>
      </c>
      <c r="B356" s="3" t="s">
        <v>18</v>
      </c>
      <c r="C356" s="11">
        <f>'[15]Realisasi Hilirisasi'!E152</f>
        <v>0</v>
      </c>
      <c r="D356" s="7">
        <f>'[15]Realisasi Hilirisasi'!F152</f>
        <v>0</v>
      </c>
      <c r="E356" s="5">
        <f>'[15]Realisasi Hilirisasi'!G152</f>
        <v>0</v>
      </c>
      <c r="F356" s="51">
        <f>IFERROR((InputData[[#This Row],[GROSS PROFIT]]/InputData[[#This Row],[REVENUE]])*100%,0)</f>
        <v>0</v>
      </c>
      <c r="G356" s="3" t="str">
        <f>VLOOKUP(InputData[[#This Row],[PRODUCT ID]],Master[],2,0)</f>
        <v>Galvanized &amp; Galvalume</v>
      </c>
      <c r="H356" s="3" t="str">
        <f>VLOOKUP(InputData[[#This Row],[PRODUCT ID]],Master[],3,0)</f>
        <v>KNI</v>
      </c>
      <c r="I356" s="3" t="str">
        <f>TEXT(InputData[[#This Row],[MONTH]],"MMMMMM")</f>
        <v>October</v>
      </c>
      <c r="J356" s="3">
        <f>YEAR(InputData[[#This Row],[MONTH]])</f>
        <v>2025</v>
      </c>
      <c r="K356" s="3" t="str">
        <f>"SMT-"&amp;CHOOSE(MONTH(InputData[[#This Row],[MONTH]]),1,1,1,1,1,1,2,2,2,2,2,2)</f>
        <v>SMT-2</v>
      </c>
      <c r="L356" s="20"/>
    </row>
    <row r="357" spans="1:12">
      <c r="A357" s="4">
        <v>45931</v>
      </c>
      <c r="B357" s="3" t="s">
        <v>20</v>
      </c>
      <c r="C357" s="11">
        <f>'[15]Realisasi Hilirisasi'!E153</f>
        <v>111.056</v>
      </c>
      <c r="D357" s="7">
        <f>'[15]Realisasi Hilirisasi'!F153</f>
        <v>1243568256</v>
      </c>
      <c r="E357" s="5">
        <f>'[15]Realisasi Hilirisasi'!G153</f>
        <v>130786342</v>
      </c>
      <c r="F357" s="51">
        <f>IFERROR((InputData[[#This Row],[GROSS PROFIT]]/InputData[[#This Row],[REVENUE]])*100%,0)</f>
        <v>0.10517021592419934</v>
      </c>
      <c r="G357" s="3" t="str">
        <f>VLOOKUP(InputData[[#This Row],[PRODUCT ID]],Master[],2,0)</f>
        <v>CNP</v>
      </c>
      <c r="H357" s="3" t="str">
        <f>VLOOKUP(InputData[[#This Row],[PRODUCT ID]],Master[],3,0)</f>
        <v>KNI</v>
      </c>
      <c r="I357" s="3" t="str">
        <f>TEXT(InputData[[#This Row],[MONTH]],"MMMMMM")</f>
        <v>October</v>
      </c>
      <c r="J357" s="3">
        <f>YEAR(InputData[[#This Row],[MONTH]])</f>
        <v>2025</v>
      </c>
      <c r="K357" s="3" t="str">
        <f>"SMT-"&amp;CHOOSE(MONTH(InputData[[#This Row],[MONTH]]),1,1,1,1,1,1,2,2,2,2,2,2)</f>
        <v>SMT-2</v>
      </c>
      <c r="L357" s="20"/>
    </row>
    <row r="358" spans="1:12">
      <c r="A358" s="4">
        <v>45931</v>
      </c>
      <c r="B358" s="3" t="s">
        <v>23</v>
      </c>
      <c r="C358" s="11">
        <f>'[15]Realisasi Hilirisasi'!E154</f>
        <v>607.54404</v>
      </c>
      <c r="D358" s="7">
        <f>'[15]Realisasi Hilirisasi'!F154</f>
        <v>6490292865.0378656</v>
      </c>
      <c r="E358" s="5">
        <f>'[15]Realisasi Hilirisasi'!G154</f>
        <v>868972883.65047836</v>
      </c>
      <c r="F358" s="51">
        <f>IFERROR((InputData[[#This Row],[GROSS PROFIT]]/InputData[[#This Row],[REVENUE]])*100%,0)</f>
        <v>0.13388808513272052</v>
      </c>
      <c r="G358" s="3" t="str">
        <f>VLOOKUP(InputData[[#This Row],[PRODUCT ID]],Master[],2,0)</f>
        <v>Other Product</v>
      </c>
      <c r="H358" s="3" t="str">
        <f>VLOOKUP(InputData[[#This Row],[PRODUCT ID]],Master[],3,0)</f>
        <v>KNI</v>
      </c>
      <c r="I358" s="3" t="str">
        <f>TEXT(InputData[[#This Row],[MONTH]],"MMMMMM")</f>
        <v>October</v>
      </c>
      <c r="J358" s="3">
        <f>YEAR(InputData[[#This Row],[MONTH]])</f>
        <v>2025</v>
      </c>
      <c r="K358" s="3" t="str">
        <f>"SMT-"&amp;CHOOSE(MONTH(InputData[[#This Row],[MONTH]]),1,1,1,1,1,1,2,2,2,2,2,2)</f>
        <v>SMT-2</v>
      </c>
      <c r="L358" s="20"/>
    </row>
    <row r="359" spans="1:12">
      <c r="A359" s="4">
        <v>45931</v>
      </c>
      <c r="B359" s="3" t="s">
        <v>21</v>
      </c>
      <c r="C359" s="11">
        <f>'[15]Realisasi Hilirisasi'!E155</f>
        <v>0</v>
      </c>
      <c r="D359" s="7">
        <f>'[15]Realisasi Hilirisasi'!F155</f>
        <v>0</v>
      </c>
      <c r="E359" s="5">
        <f>'[15]Realisasi Hilirisasi'!G155</f>
        <v>0</v>
      </c>
      <c r="F359" s="51">
        <f>IFERROR((InputData[[#This Row],[GROSS PROFIT]]/InputData[[#This Row],[REVENUE]])*100%,0)</f>
        <v>0</v>
      </c>
      <c r="G359" s="3" t="str">
        <f>VLOOKUP(InputData[[#This Row],[PRODUCT ID]],Master[],2,0)</f>
        <v>Welded Beam</v>
      </c>
      <c r="H359" s="3" t="str">
        <f>VLOOKUP(InputData[[#This Row],[PRODUCT ID]],Master[],3,0)</f>
        <v>KPdP</v>
      </c>
      <c r="I359" s="3" t="str">
        <f>TEXT(InputData[[#This Row],[MONTH]],"MMMMMM")</f>
        <v>October</v>
      </c>
      <c r="J359" s="3">
        <f>YEAR(InputData[[#This Row],[MONTH]])</f>
        <v>2025</v>
      </c>
      <c r="K359" s="3" t="str">
        <f>"SMT-"&amp;CHOOSE(MONTH(InputData[[#This Row],[MONTH]]),1,1,1,1,1,1,2,2,2,2,2,2)</f>
        <v>SMT-2</v>
      </c>
      <c r="L359" s="20"/>
    </row>
    <row r="360" spans="1:12">
      <c r="A360" s="4">
        <v>45962</v>
      </c>
      <c r="B360" s="3" t="s">
        <v>4</v>
      </c>
      <c r="C360" s="11">
        <f>'[15]Realisasi Hilirisasi'!E156</f>
        <v>0</v>
      </c>
      <c r="D360" s="7">
        <f>'[15]Realisasi Hilirisasi'!F156</f>
        <v>0</v>
      </c>
      <c r="E360" s="5">
        <f>'[15]Realisasi Hilirisasi'!G156</f>
        <v>0</v>
      </c>
      <c r="F360" s="51">
        <f>IFERROR((InputData[[#This Row],[GROSS PROFIT]]/InputData[[#This Row],[REVENUE]])*100%,0)</f>
        <v>0</v>
      </c>
      <c r="G360" s="3" t="str">
        <f>VLOOKUP(InputData[[#This Row],[PRODUCT ID]],Master[],2,0)</f>
        <v>Tower</v>
      </c>
      <c r="H360" s="3" t="str">
        <f>VLOOKUP(InputData[[#This Row],[PRODUCT ID]],Master[],3,0)</f>
        <v>KBK</v>
      </c>
      <c r="I360" s="3" t="str">
        <f>TEXT(InputData[[#This Row],[MONTH]],"MMMMMM")</f>
        <v>November</v>
      </c>
      <c r="J360" s="3">
        <f>YEAR(InputData[[#This Row],[MONTH]])</f>
        <v>2025</v>
      </c>
      <c r="K360" s="3" t="str">
        <f>"SMT-"&amp;CHOOSE(MONTH(InputData[[#This Row],[MONTH]]),1,1,1,1,1,1,2,2,2,2,2,2)</f>
        <v>SMT-2</v>
      </c>
      <c r="L360" s="20"/>
    </row>
    <row r="361" spans="1:12">
      <c r="A361" s="4">
        <v>45962</v>
      </c>
      <c r="B361" s="3" t="s">
        <v>9</v>
      </c>
      <c r="C361" s="11">
        <f>'[15]Realisasi Hilirisasi'!E157</f>
        <v>96.081999999999994</v>
      </c>
      <c r="D361" s="7">
        <f>'[15]Realisasi Hilirisasi'!F157</f>
        <v>5173905994.5150404</v>
      </c>
      <c r="E361" s="5">
        <f>'[15]Realisasi Hilirisasi'!G157</f>
        <v>186860539.87575203</v>
      </c>
      <c r="F361" s="51">
        <f>IFERROR((InputData[[#This Row],[GROSS PROFIT]]/InputData[[#This Row],[REVENUE]])*100%,0)</f>
        <v>3.61159518696023E-2</v>
      </c>
      <c r="G361" s="3" t="str">
        <f>VLOOKUP(InputData[[#This Row],[PRODUCT ID]],Master[],2,0)</f>
        <v>Steel Structure</v>
      </c>
      <c r="H361" s="3" t="str">
        <f>VLOOKUP(InputData[[#This Row],[PRODUCT ID]],Master[],3,0)</f>
        <v>KBK</v>
      </c>
      <c r="I361" s="3" t="str">
        <f>TEXT(InputData[[#This Row],[MONTH]],"MMMMMM")</f>
        <v>November</v>
      </c>
      <c r="J361" s="3">
        <f>YEAR(InputData[[#This Row],[MONTH]])</f>
        <v>2025</v>
      </c>
      <c r="K361" s="3" t="str">
        <f>"SMT-"&amp;CHOOSE(MONTH(InputData[[#This Row],[MONTH]]),1,1,1,1,1,1,2,2,2,2,2,2)</f>
        <v>SMT-2</v>
      </c>
      <c r="L361" s="20"/>
    </row>
    <row r="362" spans="1:12">
      <c r="A362" s="4">
        <v>45962</v>
      </c>
      <c r="B362" s="3" t="s">
        <v>22</v>
      </c>
      <c r="C362" s="11">
        <f>'[15]Realisasi Hilirisasi'!E158</f>
        <v>0</v>
      </c>
      <c r="D362" s="7">
        <f>'[15]Realisasi Hilirisasi'!F158</f>
        <v>0</v>
      </c>
      <c r="E362" s="5">
        <f>'[15]Realisasi Hilirisasi'!G158</f>
        <v>0</v>
      </c>
      <c r="F362" s="51">
        <f>IFERROR((InputData[[#This Row],[GROSS PROFIT]]/InputData[[#This Row],[REVENUE]])*100%,0)</f>
        <v>0</v>
      </c>
      <c r="G362" s="3" t="str">
        <f>VLOOKUP(InputData[[#This Row],[PRODUCT ID]],Master[],2,0)</f>
        <v>Modular</v>
      </c>
      <c r="H362" s="3" t="str">
        <f>VLOOKUP(InputData[[#This Row],[PRODUCT ID]],Master[],3,0)</f>
        <v>KBK</v>
      </c>
      <c r="I362" s="3" t="str">
        <f>TEXT(InputData[[#This Row],[MONTH]],"MMMMMM")</f>
        <v>November</v>
      </c>
      <c r="J362" s="3">
        <f>YEAR(InputData[[#This Row],[MONTH]])</f>
        <v>2025</v>
      </c>
      <c r="K362" s="3" t="str">
        <f>"SMT-"&amp;CHOOSE(MONTH(InputData[[#This Row],[MONTH]]),1,1,1,1,1,1,2,2,2,2,2,2)</f>
        <v>SMT-2</v>
      </c>
      <c r="L362" s="20"/>
    </row>
    <row r="363" spans="1:12">
      <c r="A363" s="4">
        <v>45962</v>
      </c>
      <c r="B363" s="3" t="s">
        <v>11</v>
      </c>
      <c r="C363" s="11">
        <f>'[15]Realisasi Hilirisasi'!E159</f>
        <v>654.79960000000005</v>
      </c>
      <c r="D363" s="7">
        <f>'[15]Realisasi Hilirisasi'!F159</f>
        <v>12533394942</v>
      </c>
      <c r="E363" s="5">
        <f>'[15]Realisasi Hilirisasi'!G159</f>
        <v>797341551</v>
      </c>
      <c r="F363" s="51">
        <f>IFERROR((InputData[[#This Row],[GROSS PROFIT]]/InputData[[#This Row],[REVENUE]])*100%,0)</f>
        <v>6.3617364224921272E-2</v>
      </c>
      <c r="G363" s="3" t="str">
        <f>VLOOKUP(InputData[[#This Row],[PRODUCT ID]],Master[],2,0)</f>
        <v>Steel Creative &amp; Component</v>
      </c>
      <c r="H363" s="3" t="str">
        <f>VLOOKUP(InputData[[#This Row],[PRODUCT ID]],Master[],3,0)</f>
        <v>KBK</v>
      </c>
      <c r="I363" s="3" t="str">
        <f>TEXT(InputData[[#This Row],[MONTH]],"MMMMMM")</f>
        <v>November</v>
      </c>
      <c r="J363" s="3">
        <f>YEAR(InputData[[#This Row],[MONTH]])</f>
        <v>2025</v>
      </c>
      <c r="K363" s="3" t="str">
        <f>"SMT-"&amp;CHOOSE(MONTH(InputData[[#This Row],[MONTH]]),1,1,1,1,1,1,2,2,2,2,2,2)</f>
        <v>SMT-2</v>
      </c>
      <c r="L363" s="20"/>
    </row>
    <row r="364" spans="1:12">
      <c r="A364" s="4">
        <v>45962</v>
      </c>
      <c r="B364" s="3" t="s">
        <v>24</v>
      </c>
      <c r="C364" s="11">
        <f>'[15]Realisasi Hilirisasi'!E160</f>
        <v>0</v>
      </c>
      <c r="D364" s="7">
        <f>'[15]Realisasi Hilirisasi'!F160</f>
        <v>0</v>
      </c>
      <c r="E364" s="5">
        <f>'[15]Realisasi Hilirisasi'!G160</f>
        <v>0</v>
      </c>
      <c r="F364" s="51">
        <f>IFERROR((InputData[[#This Row],[GROSS PROFIT]]/InputData[[#This Row],[REVENUE]])*100%,0)</f>
        <v>0</v>
      </c>
      <c r="G364" s="3" t="str">
        <f>VLOOKUP(InputData[[#This Row],[PRODUCT ID]],Master[],2,0)</f>
        <v>Cut to Lenght</v>
      </c>
      <c r="H364" s="3" t="str">
        <f>VLOOKUP(InputData[[#This Row],[PRODUCT ID]],Master[],3,0)</f>
        <v>KBK</v>
      </c>
      <c r="I364" s="3" t="str">
        <f>TEXT(InputData[[#This Row],[MONTH]],"MMMMMM")</f>
        <v>November</v>
      </c>
      <c r="J364" s="3">
        <f>YEAR(InputData[[#This Row],[MONTH]])</f>
        <v>2025</v>
      </c>
      <c r="K364" s="3" t="str">
        <f>"SMT-"&amp;CHOOSE(MONTH(InputData[[#This Row],[MONTH]]),1,1,1,1,1,1,2,2,2,2,2,2)</f>
        <v>SMT-2</v>
      </c>
      <c r="L364" s="20"/>
    </row>
    <row r="365" spans="1:12">
      <c r="A365" s="4">
        <v>45962</v>
      </c>
      <c r="B365" s="3" t="s">
        <v>12</v>
      </c>
      <c r="C365" s="11">
        <f>'[15]Realisasi Hilirisasi'!E161</f>
        <v>362.04</v>
      </c>
      <c r="D365" s="7">
        <f>'[15]Realisasi Hilirisasi'!F161</f>
        <v>6594436589</v>
      </c>
      <c r="E365" s="5">
        <f>'[15]Realisasi Hilirisasi'!G161</f>
        <v>90290463</v>
      </c>
      <c r="F365" s="51">
        <f>IFERROR((InputData[[#This Row],[GROSS PROFIT]]/InputData[[#This Row],[REVENUE]])*100%,0)</f>
        <v>1.3691914658882467E-2</v>
      </c>
      <c r="G365" s="3" t="str">
        <f>VLOOKUP(InputData[[#This Row],[PRODUCT ID]],Master[],2,0)</f>
        <v>Electric Pole</v>
      </c>
      <c r="H365" s="3" t="str">
        <f>VLOOKUP(InputData[[#This Row],[PRODUCT ID]],Master[],3,0)</f>
        <v>KPI</v>
      </c>
      <c r="I365" s="3" t="str">
        <f>TEXT(InputData[[#This Row],[MONTH]],"MMMMMM")</f>
        <v>November</v>
      </c>
      <c r="J365" s="3">
        <f>YEAR(InputData[[#This Row],[MONTH]])</f>
        <v>2025</v>
      </c>
      <c r="K365" s="3" t="str">
        <f>"SMT-"&amp;CHOOSE(MONTH(InputData[[#This Row],[MONTH]]),1,1,1,1,1,1,2,2,2,2,2,2)</f>
        <v>SMT-2</v>
      </c>
      <c r="L365" s="20"/>
    </row>
    <row r="366" spans="1:12">
      <c r="A366" s="4">
        <v>45962</v>
      </c>
      <c r="B366" s="3" t="s">
        <v>14</v>
      </c>
      <c r="C366" s="11">
        <f>'[15]Realisasi Hilirisasi'!E162</f>
        <v>0</v>
      </c>
      <c r="D366" s="7">
        <f>'[15]Realisasi Hilirisasi'!F162</f>
        <v>0</v>
      </c>
      <c r="E366" s="5">
        <f>'[15]Realisasi Hilirisasi'!G162</f>
        <v>0</v>
      </c>
      <c r="F366" s="51">
        <f>IFERROR((InputData[[#This Row],[GROSS PROFIT]]/InputData[[#This Row],[REVENUE]])*100%,0)</f>
        <v>0</v>
      </c>
      <c r="G366" s="3" t="str">
        <f>VLOOKUP(InputData[[#This Row],[PRODUCT ID]],Master[],2,0)</f>
        <v>Fiber Optic Pole</v>
      </c>
      <c r="H366" s="3" t="str">
        <f>VLOOKUP(InputData[[#This Row],[PRODUCT ID]],Master[],3,0)</f>
        <v>KPI</v>
      </c>
      <c r="I366" s="3" t="str">
        <f>TEXT(InputData[[#This Row],[MONTH]],"MMMMMM")</f>
        <v>November</v>
      </c>
      <c r="J366" s="3">
        <f>YEAR(InputData[[#This Row],[MONTH]])</f>
        <v>2025</v>
      </c>
      <c r="K366" s="3" t="str">
        <f>"SMT-"&amp;CHOOSE(MONTH(InputData[[#This Row],[MONTH]]),1,1,1,1,1,1,2,2,2,2,2,2)</f>
        <v>SMT-2</v>
      </c>
      <c r="L366" s="20"/>
    </row>
    <row r="367" spans="1:12">
      <c r="A367" s="4">
        <v>45962</v>
      </c>
      <c r="B367" s="3" t="s">
        <v>17</v>
      </c>
      <c r="C367" s="11">
        <f>'[15]Realisasi Hilirisasi'!E163</f>
        <v>0</v>
      </c>
      <c r="D367" s="7">
        <f>'[15]Realisasi Hilirisasi'!F163</f>
        <v>0</v>
      </c>
      <c r="E367" s="5">
        <f>'[15]Realisasi Hilirisasi'!G163</f>
        <v>0</v>
      </c>
      <c r="F367" s="51">
        <f>IFERROR((InputData[[#This Row],[GROSS PROFIT]]/InputData[[#This Row],[REVENUE]])*100%,0)</f>
        <v>0</v>
      </c>
      <c r="G367" s="3" t="str">
        <f>VLOOKUP(InputData[[#This Row],[PRODUCT ID]],Master[],2,0)</f>
        <v>Bends Pipe</v>
      </c>
      <c r="H367" s="59" t="str">
        <f>VLOOKUP(InputData[[#This Row],[PRODUCT ID]],Master[],3,0)</f>
        <v>KPI</v>
      </c>
      <c r="I367" s="59" t="str">
        <f>TEXT(InputData[[#This Row],[MONTH]],"MMMMMM")</f>
        <v>November</v>
      </c>
      <c r="J367" s="59">
        <f>YEAR(InputData[[#This Row],[MONTH]])</f>
        <v>2025</v>
      </c>
      <c r="K367" s="59" t="str">
        <f>"SMT-"&amp;CHOOSE(MONTH(InputData[[#This Row],[MONTH]]),1,1,1,1,1,1,2,2,2,2,2,2)</f>
        <v>SMT-2</v>
      </c>
      <c r="L367" s="60"/>
    </row>
    <row r="368" spans="1:12">
      <c r="A368" s="4">
        <v>45962</v>
      </c>
      <c r="B368" s="3" t="s">
        <v>16</v>
      </c>
      <c r="C368" s="11">
        <f>'[15]Realisasi Hilirisasi'!E164</f>
        <v>1198.32</v>
      </c>
      <c r="D368" s="7">
        <f>'[15]Realisasi Hilirisasi'!F164</f>
        <v>12683920980</v>
      </c>
      <c r="E368" s="5">
        <f>'[15]Realisasi Hilirisasi'!G164</f>
        <v>458133147</v>
      </c>
      <c r="F368" s="51">
        <f>IFERROR((InputData[[#This Row],[GROSS PROFIT]]/InputData[[#This Row],[REVENUE]])*100%,0)</f>
        <v>3.6119205387859489E-2</v>
      </c>
      <c r="G368" s="3" t="str">
        <f>VLOOKUP(InputData[[#This Row],[PRODUCT ID]],Master[],2,0)</f>
        <v>Seamless Pipe</v>
      </c>
      <c r="H368" s="3" t="str">
        <f>VLOOKUP(InputData[[#This Row],[PRODUCT ID]],Master[],3,0)</f>
        <v>KPI</v>
      </c>
      <c r="I368" s="3" t="str">
        <f>TEXT(InputData[[#This Row],[MONTH]],"MMMMMM")</f>
        <v>November</v>
      </c>
      <c r="J368" s="3">
        <f>YEAR(InputData[[#This Row],[MONTH]])</f>
        <v>2025</v>
      </c>
      <c r="K368" s="3" t="str">
        <f>"SMT-"&amp;CHOOSE(MONTH(InputData[[#This Row],[MONTH]]),1,1,1,1,1,1,2,2,2,2,2,2)</f>
        <v>SMT-2</v>
      </c>
      <c r="L368" s="20"/>
    </row>
    <row r="369" spans="1:12">
      <c r="A369" s="4">
        <v>45962</v>
      </c>
      <c r="B369" s="3" t="s">
        <v>19</v>
      </c>
      <c r="C369" s="11">
        <f>'[15]Realisasi Hilirisasi'!E165</f>
        <v>415.21980149060715</v>
      </c>
      <c r="D369" s="7">
        <f>'[15]Realisasi Hilirisasi'!F165</f>
        <v>6768749459.9573135</v>
      </c>
      <c r="E369" s="5">
        <f>'[15]Realisasi Hilirisasi'!G165</f>
        <v>100030780.19641289</v>
      </c>
      <c r="F369" s="51">
        <f>IFERROR((InputData[[#This Row],[GROSS PROFIT]]/InputData[[#This Row],[REVENUE]])*100%,0)</f>
        <v>1.477832512315262E-2</v>
      </c>
      <c r="G369" s="3" t="str">
        <f>VLOOKUP(InputData[[#This Row],[PRODUCT ID]],Master[],2,0)</f>
        <v>Baja Ringan</v>
      </c>
      <c r="H369" s="3" t="str">
        <f>VLOOKUP(InputData[[#This Row],[PRODUCT ID]],Master[],3,0)</f>
        <v>KNI</v>
      </c>
      <c r="I369" s="3" t="str">
        <f>TEXT(InputData[[#This Row],[MONTH]],"MMMMMM")</f>
        <v>November</v>
      </c>
      <c r="J369" s="3">
        <f>YEAR(InputData[[#This Row],[MONTH]])</f>
        <v>2025</v>
      </c>
      <c r="K369" s="3" t="str">
        <f>"SMT-"&amp;CHOOSE(MONTH(InputData[[#This Row],[MONTH]]),1,1,1,1,1,1,2,2,2,2,2,2)</f>
        <v>SMT-2</v>
      </c>
      <c r="L369" s="20"/>
    </row>
    <row r="370" spans="1:12">
      <c r="A370" s="4">
        <v>45962</v>
      </c>
      <c r="B370" s="3" t="s">
        <v>75</v>
      </c>
      <c r="C370" s="11">
        <f>'[15]Realisasi Hilirisasi'!E166</f>
        <v>0</v>
      </c>
      <c r="D370" s="7">
        <f>'[15]Realisasi Hilirisasi'!F166</f>
        <v>0</v>
      </c>
      <c r="E370" s="5">
        <f>'[15]Realisasi Hilirisasi'!G166</f>
        <v>0</v>
      </c>
      <c r="F370" s="51">
        <f>IFERROR((InputData[[#This Row],[GROSS PROFIT]]/InputData[[#This Row],[REVENUE]])*100%,0)</f>
        <v>0</v>
      </c>
      <c r="G370" s="3" t="str">
        <f>VLOOKUP(InputData[[#This Row],[PRODUCT ID]],Master[],2,0)</f>
        <v>Floordeck</v>
      </c>
      <c r="H370" s="3" t="str">
        <f>VLOOKUP(InputData[[#This Row],[PRODUCT ID]],Master[],3,0)</f>
        <v>KNI</v>
      </c>
      <c r="I370" s="3" t="str">
        <f>TEXT(InputData[[#This Row],[MONTH]],"MMMMMM")</f>
        <v>November</v>
      </c>
      <c r="J370" s="3">
        <f>YEAR(InputData[[#This Row],[MONTH]])</f>
        <v>2025</v>
      </c>
      <c r="K370" s="3" t="str">
        <f>"SMT-"&amp;CHOOSE(MONTH(InputData[[#This Row],[MONTH]]),1,1,1,1,1,1,2,2,2,2,2,2)</f>
        <v>SMT-2</v>
      </c>
      <c r="L370" s="20"/>
    </row>
    <row r="371" spans="1:12">
      <c r="A371" s="4">
        <v>45962</v>
      </c>
      <c r="B371" s="3" t="s">
        <v>18</v>
      </c>
      <c r="C371" s="11">
        <f>'[15]Realisasi Hilirisasi'!E167</f>
        <v>0</v>
      </c>
      <c r="D371" s="7">
        <f>'[15]Realisasi Hilirisasi'!F167</f>
        <v>0</v>
      </c>
      <c r="E371" s="5">
        <f>'[15]Realisasi Hilirisasi'!G167</f>
        <v>0</v>
      </c>
      <c r="F371" s="51">
        <f>IFERROR((InputData[[#This Row],[GROSS PROFIT]]/InputData[[#This Row],[REVENUE]])*100%,0)</f>
        <v>0</v>
      </c>
      <c r="G371" s="3" t="str">
        <f>VLOOKUP(InputData[[#This Row],[PRODUCT ID]],Master[],2,0)</f>
        <v>Galvanized &amp; Galvalume</v>
      </c>
      <c r="H371" s="3" t="str">
        <f>VLOOKUP(InputData[[#This Row],[PRODUCT ID]],Master[],3,0)</f>
        <v>KNI</v>
      </c>
      <c r="I371" s="3" t="str">
        <f>TEXT(InputData[[#This Row],[MONTH]],"MMMMMM")</f>
        <v>November</v>
      </c>
      <c r="J371" s="3">
        <f>YEAR(InputData[[#This Row],[MONTH]])</f>
        <v>2025</v>
      </c>
      <c r="K371" s="3" t="str">
        <f>"SMT-"&amp;CHOOSE(MONTH(InputData[[#This Row],[MONTH]]),1,1,1,1,1,1,2,2,2,2,2,2)</f>
        <v>SMT-2</v>
      </c>
      <c r="L371" s="20"/>
    </row>
    <row r="372" spans="1:12">
      <c r="A372" s="4">
        <v>45962</v>
      </c>
      <c r="B372" s="3" t="s">
        <v>20</v>
      </c>
      <c r="C372" s="11">
        <f>'[15]Realisasi Hilirisasi'!E168</f>
        <v>0</v>
      </c>
      <c r="D372" s="7">
        <f>'[15]Realisasi Hilirisasi'!F168</f>
        <v>0</v>
      </c>
      <c r="E372" s="5">
        <f>'[15]Realisasi Hilirisasi'!G168</f>
        <v>0</v>
      </c>
      <c r="F372" s="51">
        <f>IFERROR((InputData[[#This Row],[GROSS PROFIT]]/InputData[[#This Row],[REVENUE]])*100%,0)</f>
        <v>0</v>
      </c>
      <c r="G372" s="3" t="str">
        <f>VLOOKUP(InputData[[#This Row],[PRODUCT ID]],Master[],2,0)</f>
        <v>CNP</v>
      </c>
      <c r="H372" s="3" t="str">
        <f>VLOOKUP(InputData[[#This Row],[PRODUCT ID]],Master[],3,0)</f>
        <v>KNI</v>
      </c>
      <c r="I372" s="3" t="str">
        <f>TEXT(InputData[[#This Row],[MONTH]],"MMMMMM")</f>
        <v>November</v>
      </c>
      <c r="J372" s="3">
        <f>YEAR(InputData[[#This Row],[MONTH]])</f>
        <v>2025</v>
      </c>
      <c r="K372" s="3" t="str">
        <f>"SMT-"&amp;CHOOSE(MONTH(InputData[[#This Row],[MONTH]]),1,1,1,1,1,1,2,2,2,2,2,2)</f>
        <v>SMT-2</v>
      </c>
      <c r="L372" s="20"/>
    </row>
    <row r="373" spans="1:12">
      <c r="A373" s="4">
        <v>45962</v>
      </c>
      <c r="B373" s="3" t="s">
        <v>23</v>
      </c>
      <c r="C373" s="11">
        <f>'[15]Realisasi Hilirisasi'!E169</f>
        <v>622.26300000000003</v>
      </c>
      <c r="D373" s="7">
        <f>'[15]Realisasi Hilirisasi'!F169</f>
        <v>7725638642.499999</v>
      </c>
      <c r="E373" s="5">
        <f>'[15]Realisasi Hilirisasi'!G169</f>
        <v>1485198269.7600002</v>
      </c>
      <c r="F373" s="51">
        <f>IFERROR((InputData[[#This Row],[GROSS PROFIT]]/InputData[[#This Row],[REVENUE]])*100%,0)</f>
        <v>0.19224278256941532</v>
      </c>
      <c r="G373" s="3" t="str">
        <f>VLOOKUP(InputData[[#This Row],[PRODUCT ID]],Master[],2,0)</f>
        <v>Other Product</v>
      </c>
      <c r="H373" s="3" t="str">
        <f>VLOOKUP(InputData[[#This Row],[PRODUCT ID]],Master[],3,0)</f>
        <v>KNI</v>
      </c>
      <c r="I373" s="3" t="str">
        <f>TEXT(InputData[[#This Row],[MONTH]],"MMMMMM")</f>
        <v>November</v>
      </c>
      <c r="J373" s="3">
        <f>YEAR(InputData[[#This Row],[MONTH]])</f>
        <v>2025</v>
      </c>
      <c r="K373" s="3" t="str">
        <f>"SMT-"&amp;CHOOSE(MONTH(InputData[[#This Row],[MONTH]]),1,1,1,1,1,1,2,2,2,2,2,2)</f>
        <v>SMT-2</v>
      </c>
      <c r="L373" s="20"/>
    </row>
    <row r="374" spans="1:12">
      <c r="A374" s="4">
        <v>45962</v>
      </c>
      <c r="B374" s="3" t="s">
        <v>21</v>
      </c>
      <c r="C374" s="11">
        <f>'[15]Realisasi Hilirisasi'!E170</f>
        <v>0</v>
      </c>
      <c r="D374" s="7">
        <f>'[15]Realisasi Hilirisasi'!F170</f>
        <v>0</v>
      </c>
      <c r="E374" s="5">
        <f>'[15]Realisasi Hilirisasi'!G170</f>
        <v>0</v>
      </c>
      <c r="F374" s="51">
        <f>IFERROR((InputData[[#This Row],[GROSS PROFIT]]/InputData[[#This Row],[REVENUE]])*100%,0)</f>
        <v>0</v>
      </c>
      <c r="G374" s="3" t="str">
        <f>VLOOKUP(InputData[[#This Row],[PRODUCT ID]],Master[],2,0)</f>
        <v>Welded Beam</v>
      </c>
      <c r="H374" s="3" t="str">
        <f>VLOOKUP(InputData[[#This Row],[PRODUCT ID]],Master[],3,0)</f>
        <v>KPdP</v>
      </c>
      <c r="I374" s="3" t="str">
        <f>TEXT(InputData[[#This Row],[MONTH]],"MMMMMM")</f>
        <v>November</v>
      </c>
      <c r="J374" s="3">
        <f>YEAR(InputData[[#This Row],[MONTH]])</f>
        <v>2025</v>
      </c>
      <c r="K374" s="3" t="str">
        <f>"SMT-"&amp;CHOOSE(MONTH(InputData[[#This Row],[MONTH]]),1,1,1,1,1,1,2,2,2,2,2,2)</f>
        <v>SMT-2</v>
      </c>
      <c r="L374" s="20"/>
    </row>
    <row r="375" spans="1:12">
      <c r="A375" s="4">
        <v>45992</v>
      </c>
      <c r="B375" s="3" t="s">
        <v>4</v>
      </c>
      <c r="C375" s="11">
        <f>'[15]Realisasi Hilirisasi'!E171</f>
        <v>0</v>
      </c>
      <c r="D375" s="7">
        <f>'[15]Realisasi Hilirisasi'!F171</f>
        <v>0</v>
      </c>
      <c r="E375" s="5">
        <f>'[15]Realisasi Hilirisasi'!G171</f>
        <v>0</v>
      </c>
      <c r="F375" s="51">
        <f>IFERROR((InputData[[#This Row],[GROSS PROFIT]]/InputData[[#This Row],[REVENUE]])*100%,0)</f>
        <v>0</v>
      </c>
      <c r="G375" s="3" t="str">
        <f>VLOOKUP(InputData[[#This Row],[PRODUCT ID]],Master[],2,0)</f>
        <v>Tower</v>
      </c>
      <c r="H375" s="3" t="str">
        <f>VLOOKUP(InputData[[#This Row],[PRODUCT ID]],Master[],3,0)</f>
        <v>KBK</v>
      </c>
      <c r="I375" s="3" t="str">
        <f>TEXT(InputData[[#This Row],[MONTH]],"MMMMMM")</f>
        <v>December</v>
      </c>
      <c r="J375" s="3">
        <f>YEAR(InputData[[#This Row],[MONTH]])</f>
        <v>2025</v>
      </c>
      <c r="K375" s="3" t="str">
        <f>"SMT-"&amp;CHOOSE(MONTH(InputData[[#This Row],[MONTH]]),1,1,1,1,1,1,2,2,2,2,2,2)</f>
        <v>SMT-2</v>
      </c>
      <c r="L375" s="20"/>
    </row>
    <row r="376" spans="1:12">
      <c r="A376" s="4">
        <v>45992</v>
      </c>
      <c r="B376" s="3" t="s">
        <v>9</v>
      </c>
      <c r="C376" s="11">
        <f>'[15]Realisasi Hilirisasi'!E172</f>
        <v>92.081980000000001</v>
      </c>
      <c r="D376" s="7">
        <f>'[15]Realisasi Hilirisasi'!F172</f>
        <v>4719608410</v>
      </c>
      <c r="E376" s="5">
        <f>'[15]Realisasi Hilirisasi'!G172</f>
        <v>331468920.5</v>
      </c>
      <c r="F376" s="51">
        <f>IFERROR((InputData[[#This Row],[GROSS PROFIT]]/InputData[[#This Row],[REVENUE]])*100%,0)</f>
        <v>7.0232292958389744E-2</v>
      </c>
      <c r="G376" s="3" t="str">
        <f>VLOOKUP(InputData[[#This Row],[PRODUCT ID]],Master[],2,0)</f>
        <v>Steel Structure</v>
      </c>
      <c r="H376" s="3" t="str">
        <f>VLOOKUP(InputData[[#This Row],[PRODUCT ID]],Master[],3,0)</f>
        <v>KBK</v>
      </c>
      <c r="I376" s="3" t="str">
        <f>TEXT(InputData[[#This Row],[MONTH]],"MMMMMM")</f>
        <v>December</v>
      </c>
      <c r="J376" s="3">
        <f>YEAR(InputData[[#This Row],[MONTH]])</f>
        <v>2025</v>
      </c>
      <c r="K376" s="3" t="str">
        <f>"SMT-"&amp;CHOOSE(MONTH(InputData[[#This Row],[MONTH]]),1,1,1,1,1,1,2,2,2,2,2,2)</f>
        <v>SMT-2</v>
      </c>
      <c r="L376" s="20"/>
    </row>
    <row r="377" spans="1:12">
      <c r="A377" s="4">
        <v>45992</v>
      </c>
      <c r="B377" s="3" t="s">
        <v>22</v>
      </c>
      <c r="C377" s="11">
        <f>'[15]Realisasi Hilirisasi'!E173</f>
        <v>0</v>
      </c>
      <c r="D377" s="7">
        <f>'[15]Realisasi Hilirisasi'!F173</f>
        <v>0</v>
      </c>
      <c r="E377" s="5">
        <f>'[15]Realisasi Hilirisasi'!G173</f>
        <v>0</v>
      </c>
      <c r="F377" s="51">
        <f>IFERROR((InputData[[#This Row],[GROSS PROFIT]]/InputData[[#This Row],[REVENUE]])*100%,0)</f>
        <v>0</v>
      </c>
      <c r="G377" s="3" t="str">
        <f>VLOOKUP(InputData[[#This Row],[PRODUCT ID]],Master[],2,0)</f>
        <v>Modular</v>
      </c>
      <c r="H377" s="3" t="str">
        <f>VLOOKUP(InputData[[#This Row],[PRODUCT ID]],Master[],3,0)</f>
        <v>KBK</v>
      </c>
      <c r="I377" s="3" t="str">
        <f>TEXT(InputData[[#This Row],[MONTH]],"MMMMMM")</f>
        <v>December</v>
      </c>
      <c r="J377" s="3">
        <f>YEAR(InputData[[#This Row],[MONTH]])</f>
        <v>2025</v>
      </c>
      <c r="K377" s="3" t="str">
        <f>"SMT-"&amp;CHOOSE(MONTH(InputData[[#This Row],[MONTH]]),1,1,1,1,1,1,2,2,2,2,2,2)</f>
        <v>SMT-2</v>
      </c>
      <c r="L377" s="20"/>
    </row>
    <row r="378" spans="1:12">
      <c r="A378" s="4">
        <v>45992</v>
      </c>
      <c r="B378" s="3" t="s">
        <v>11</v>
      </c>
      <c r="C378" s="11">
        <f>'[15]Realisasi Hilirisasi'!E174</f>
        <v>159.36362000000003</v>
      </c>
      <c r="D378" s="7">
        <f>'[15]Realisasi Hilirisasi'!F174</f>
        <v>2601226340</v>
      </c>
      <c r="E378" s="5">
        <f>'[15]Realisasi Hilirisasi'!G174</f>
        <v>137369860</v>
      </c>
      <c r="F378" s="51">
        <f>IFERROR((InputData[[#This Row],[GROSS PROFIT]]/InputData[[#This Row],[REVENUE]])*100%,0)</f>
        <v>5.2809652850124532E-2</v>
      </c>
      <c r="G378" s="3" t="str">
        <f>VLOOKUP(InputData[[#This Row],[PRODUCT ID]],Master[],2,0)</f>
        <v>Steel Creative &amp; Component</v>
      </c>
      <c r="H378" s="3" t="str">
        <f>VLOOKUP(InputData[[#This Row],[PRODUCT ID]],Master[],3,0)</f>
        <v>KBK</v>
      </c>
      <c r="I378" s="3" t="str">
        <f>TEXT(InputData[[#This Row],[MONTH]],"MMMMMM")</f>
        <v>December</v>
      </c>
      <c r="J378" s="3">
        <f>YEAR(InputData[[#This Row],[MONTH]])</f>
        <v>2025</v>
      </c>
      <c r="K378" s="3" t="str">
        <f>"SMT-"&amp;CHOOSE(MONTH(InputData[[#This Row],[MONTH]]),1,1,1,1,1,1,2,2,2,2,2,2)</f>
        <v>SMT-2</v>
      </c>
      <c r="L378" s="20"/>
    </row>
    <row r="379" spans="1:12">
      <c r="A379" s="4">
        <v>45992</v>
      </c>
      <c r="B379" s="3" t="s">
        <v>24</v>
      </c>
      <c r="C379" s="11">
        <f>'[15]Realisasi Hilirisasi'!E175</f>
        <v>0</v>
      </c>
      <c r="D379" s="7">
        <f>'[15]Realisasi Hilirisasi'!F175</f>
        <v>0</v>
      </c>
      <c r="E379" s="5">
        <f>'[15]Realisasi Hilirisasi'!G175</f>
        <v>0</v>
      </c>
      <c r="F379" s="51">
        <f>IFERROR((InputData[[#This Row],[GROSS PROFIT]]/InputData[[#This Row],[REVENUE]])*100%,0)</f>
        <v>0</v>
      </c>
      <c r="G379" s="3" t="str">
        <f>VLOOKUP(InputData[[#This Row],[PRODUCT ID]],Master[],2,0)</f>
        <v>Cut to Lenght</v>
      </c>
      <c r="H379" s="3" t="str">
        <f>VLOOKUP(InputData[[#This Row],[PRODUCT ID]],Master[],3,0)</f>
        <v>KBK</v>
      </c>
      <c r="I379" s="3" t="str">
        <f>TEXT(InputData[[#This Row],[MONTH]],"MMMMMM")</f>
        <v>December</v>
      </c>
      <c r="J379" s="3">
        <f>YEAR(InputData[[#This Row],[MONTH]])</f>
        <v>2025</v>
      </c>
      <c r="K379" s="3" t="str">
        <f>"SMT-"&amp;CHOOSE(MONTH(InputData[[#This Row],[MONTH]]),1,1,1,1,1,1,2,2,2,2,2,2)</f>
        <v>SMT-2</v>
      </c>
      <c r="L379" s="20"/>
    </row>
    <row r="380" spans="1:12">
      <c r="A380" s="4">
        <v>45992</v>
      </c>
      <c r="B380" s="3" t="s">
        <v>12</v>
      </c>
      <c r="C380" s="11">
        <f>'[15]Realisasi Hilirisasi'!E176</f>
        <v>47.42</v>
      </c>
      <c r="D380" s="7">
        <f>'[15]Realisasi Hilirisasi'!F176</f>
        <v>805784440</v>
      </c>
      <c r="E380" s="5">
        <f>'[15]Realisasi Hilirisasi'!G176</f>
        <v>11826230</v>
      </c>
      <c r="F380" s="51">
        <f>IFERROR((InputData[[#This Row],[GROSS PROFIT]]/InputData[[#This Row],[REVENUE]])*100%,0)</f>
        <v>1.4676667124522782E-2</v>
      </c>
      <c r="G380" s="3" t="str">
        <f>VLOOKUP(InputData[[#This Row],[PRODUCT ID]],Master[],2,0)</f>
        <v>Electric Pole</v>
      </c>
      <c r="H380" s="3" t="str">
        <f>VLOOKUP(InputData[[#This Row],[PRODUCT ID]],Master[],3,0)</f>
        <v>KPI</v>
      </c>
      <c r="I380" s="3" t="str">
        <f>TEXT(InputData[[#This Row],[MONTH]],"MMMMMM")</f>
        <v>December</v>
      </c>
      <c r="J380" s="3">
        <f>YEAR(InputData[[#This Row],[MONTH]])</f>
        <v>2025</v>
      </c>
      <c r="K380" s="3" t="str">
        <f>"SMT-"&amp;CHOOSE(MONTH(InputData[[#This Row],[MONTH]]),1,1,1,1,1,1,2,2,2,2,2,2)</f>
        <v>SMT-2</v>
      </c>
      <c r="L380" s="20"/>
    </row>
    <row r="381" spans="1:12">
      <c r="A381" s="4">
        <v>45992</v>
      </c>
      <c r="B381" s="3" t="s">
        <v>14</v>
      </c>
      <c r="C381" s="11">
        <f>'[15]Realisasi Hilirisasi'!E177</f>
        <v>0</v>
      </c>
      <c r="D381" s="7">
        <f>'[15]Realisasi Hilirisasi'!F177</f>
        <v>0</v>
      </c>
      <c r="E381" s="5">
        <f>'[15]Realisasi Hilirisasi'!G177</f>
        <v>0</v>
      </c>
      <c r="F381" s="51">
        <f>IFERROR((InputData[[#This Row],[GROSS PROFIT]]/InputData[[#This Row],[REVENUE]])*100%,0)</f>
        <v>0</v>
      </c>
      <c r="G381" s="3" t="str">
        <f>VLOOKUP(InputData[[#This Row],[PRODUCT ID]],Master[],2,0)</f>
        <v>Fiber Optic Pole</v>
      </c>
      <c r="H381" s="3" t="str">
        <f>VLOOKUP(InputData[[#This Row],[PRODUCT ID]],Master[],3,0)</f>
        <v>KPI</v>
      </c>
      <c r="I381" s="3" t="str">
        <f>TEXT(InputData[[#This Row],[MONTH]],"MMMMMM")</f>
        <v>December</v>
      </c>
      <c r="J381" s="3">
        <f>YEAR(InputData[[#This Row],[MONTH]])</f>
        <v>2025</v>
      </c>
      <c r="K381" s="3" t="str">
        <f>"SMT-"&amp;CHOOSE(MONTH(InputData[[#This Row],[MONTH]]),1,1,1,1,1,1,2,2,2,2,2,2)</f>
        <v>SMT-2</v>
      </c>
      <c r="L381" s="20"/>
    </row>
    <row r="382" spans="1:12">
      <c r="A382" s="4">
        <v>45992</v>
      </c>
      <c r="B382" s="3" t="s">
        <v>17</v>
      </c>
      <c r="C382" s="11">
        <f>'[15]Realisasi Hilirisasi'!E178</f>
        <v>0</v>
      </c>
      <c r="D382" s="7">
        <f>'[15]Realisasi Hilirisasi'!F178</f>
        <v>0</v>
      </c>
      <c r="E382" s="5">
        <f>'[15]Realisasi Hilirisasi'!G178</f>
        <v>0</v>
      </c>
      <c r="F382" s="51">
        <f>IFERROR((InputData[[#This Row],[GROSS PROFIT]]/InputData[[#This Row],[REVENUE]])*100%,0)</f>
        <v>0</v>
      </c>
      <c r="G382" s="3" t="str">
        <f>VLOOKUP(InputData[[#This Row],[PRODUCT ID]],Master[],2,0)</f>
        <v>Bends Pipe</v>
      </c>
      <c r="H382" s="3" t="str">
        <f>VLOOKUP(InputData[[#This Row],[PRODUCT ID]],Master[],3,0)</f>
        <v>KPI</v>
      </c>
      <c r="I382" s="3" t="str">
        <f>TEXT(InputData[[#This Row],[MONTH]],"MMMMMM")</f>
        <v>December</v>
      </c>
      <c r="J382" s="3">
        <f>YEAR(InputData[[#This Row],[MONTH]])</f>
        <v>2025</v>
      </c>
      <c r="K382" s="3" t="str">
        <f>"SMT-"&amp;CHOOSE(MONTH(InputData[[#This Row],[MONTH]]),1,1,1,1,1,1,2,2,2,2,2,2)</f>
        <v>SMT-2</v>
      </c>
      <c r="L382" s="20"/>
    </row>
    <row r="383" spans="1:12">
      <c r="A383" s="4">
        <v>45992</v>
      </c>
      <c r="B383" s="3" t="s">
        <v>16</v>
      </c>
      <c r="C383" s="11">
        <f>'[15]Realisasi Hilirisasi'!E179</f>
        <v>3905.6010000000001</v>
      </c>
      <c r="D383" s="7">
        <f>'[15]Realisasi Hilirisasi'!F179</f>
        <v>44027663284</v>
      </c>
      <c r="E383" s="5">
        <f>'[15]Realisasi Hilirisasi'!G179</f>
        <v>3322030756.0000334</v>
      </c>
      <c r="F383" s="51">
        <f>IFERROR((InputData[[#This Row],[GROSS PROFIT]]/InputData[[#This Row],[REVENUE]])*100%,0)</f>
        <v>7.5453260705009656E-2</v>
      </c>
      <c r="G383" s="3" t="str">
        <f>VLOOKUP(InputData[[#This Row],[PRODUCT ID]],Master[],2,0)</f>
        <v>Seamless Pipe</v>
      </c>
      <c r="H383" s="3" t="str">
        <f>VLOOKUP(InputData[[#This Row],[PRODUCT ID]],Master[],3,0)</f>
        <v>KPI</v>
      </c>
      <c r="I383" s="3" t="str">
        <f>TEXT(InputData[[#This Row],[MONTH]],"MMMMMM")</f>
        <v>December</v>
      </c>
      <c r="J383" s="3">
        <f>YEAR(InputData[[#This Row],[MONTH]])</f>
        <v>2025</v>
      </c>
      <c r="K383" s="3" t="str">
        <f>"SMT-"&amp;CHOOSE(MONTH(InputData[[#This Row],[MONTH]]),1,1,1,1,1,1,2,2,2,2,2,2)</f>
        <v>SMT-2</v>
      </c>
      <c r="L383" s="20"/>
    </row>
    <row r="384" spans="1:12">
      <c r="A384" s="4">
        <v>45992</v>
      </c>
      <c r="B384" s="3" t="s">
        <v>19</v>
      </c>
      <c r="C384" s="11">
        <f>'[15]Realisasi Hilirisasi'!E180</f>
        <v>279.90684700000003</v>
      </c>
      <c r="D384" s="7">
        <f>'[15]Realisasi Hilirisasi'!F180</f>
        <v>4771724418.3044014</v>
      </c>
      <c r="E384" s="5">
        <f>'[15]Realisasi Hilirisasi'!G180</f>
        <v>70518094.851788789</v>
      </c>
      <c r="F384" s="51">
        <f>IFERROR((InputData[[#This Row],[GROSS PROFIT]]/InputData[[#This Row],[REVENUE]])*100%,0)</f>
        <v>1.4778325123152627E-2</v>
      </c>
      <c r="G384" s="3" t="str">
        <f>VLOOKUP(InputData[[#This Row],[PRODUCT ID]],Master[],2,0)</f>
        <v>Baja Ringan</v>
      </c>
      <c r="H384" s="3" t="str">
        <f>VLOOKUP(InputData[[#This Row],[PRODUCT ID]],Master[],3,0)</f>
        <v>KNI</v>
      </c>
      <c r="I384" s="3" t="str">
        <f>TEXT(InputData[[#This Row],[MONTH]],"MMMMMM")</f>
        <v>December</v>
      </c>
      <c r="J384" s="3">
        <f>YEAR(InputData[[#This Row],[MONTH]])</f>
        <v>2025</v>
      </c>
      <c r="K384" s="3" t="str">
        <f>"SMT-"&amp;CHOOSE(MONTH(InputData[[#This Row],[MONTH]]),1,1,1,1,1,1,2,2,2,2,2,2)</f>
        <v>SMT-2</v>
      </c>
      <c r="L384" s="20"/>
    </row>
    <row r="385" spans="1:12">
      <c r="A385" s="4">
        <v>45992</v>
      </c>
      <c r="B385" s="3" t="s">
        <v>75</v>
      </c>
      <c r="C385" s="11">
        <f>'[15]Realisasi Hilirisasi'!E181</f>
        <v>0</v>
      </c>
      <c r="D385" s="7">
        <f>'[15]Realisasi Hilirisasi'!F181</f>
        <v>0</v>
      </c>
      <c r="E385" s="5">
        <f>'[15]Realisasi Hilirisasi'!G181</f>
        <v>0</v>
      </c>
      <c r="F385" s="51">
        <f>IFERROR((InputData[[#This Row],[GROSS PROFIT]]/InputData[[#This Row],[REVENUE]])*100%,0)</f>
        <v>0</v>
      </c>
      <c r="G385" s="3" t="str">
        <f>VLOOKUP(InputData[[#This Row],[PRODUCT ID]],Master[],2,0)</f>
        <v>Floordeck</v>
      </c>
      <c r="H385" s="3" t="str">
        <f>VLOOKUP(InputData[[#This Row],[PRODUCT ID]],Master[],3,0)</f>
        <v>KNI</v>
      </c>
      <c r="I385" s="3" t="str">
        <f>TEXT(InputData[[#This Row],[MONTH]],"MMMMMM")</f>
        <v>December</v>
      </c>
      <c r="J385" s="3">
        <f>YEAR(InputData[[#This Row],[MONTH]])</f>
        <v>2025</v>
      </c>
      <c r="K385" s="3" t="str">
        <f>"SMT-"&amp;CHOOSE(MONTH(InputData[[#This Row],[MONTH]]),1,1,1,1,1,1,2,2,2,2,2,2)</f>
        <v>SMT-2</v>
      </c>
      <c r="L385" s="20"/>
    </row>
    <row r="386" spans="1:12">
      <c r="A386" s="4">
        <v>45992</v>
      </c>
      <c r="B386" s="3" t="s">
        <v>18</v>
      </c>
      <c r="C386" s="11">
        <f>'[15]Realisasi Hilirisasi'!E182</f>
        <v>0</v>
      </c>
      <c r="D386" s="7">
        <f>'[15]Realisasi Hilirisasi'!F182</f>
        <v>0</v>
      </c>
      <c r="E386" s="5">
        <f>'[15]Realisasi Hilirisasi'!G182</f>
        <v>0</v>
      </c>
      <c r="F386" s="51">
        <f>IFERROR((InputData[[#This Row],[GROSS PROFIT]]/InputData[[#This Row],[REVENUE]])*100%,0)</f>
        <v>0</v>
      </c>
      <c r="G386" s="3" t="str">
        <f>VLOOKUP(InputData[[#This Row],[PRODUCT ID]],Master[],2,0)</f>
        <v>Galvanized &amp; Galvalume</v>
      </c>
      <c r="H386" s="3" t="str">
        <f>VLOOKUP(InputData[[#This Row],[PRODUCT ID]],Master[],3,0)</f>
        <v>KNI</v>
      </c>
      <c r="I386" s="3" t="str">
        <f>TEXT(InputData[[#This Row],[MONTH]],"MMMMMM")</f>
        <v>December</v>
      </c>
      <c r="J386" s="3">
        <f>YEAR(InputData[[#This Row],[MONTH]])</f>
        <v>2025</v>
      </c>
      <c r="K386" s="3" t="str">
        <f>"SMT-"&amp;CHOOSE(MONTH(InputData[[#This Row],[MONTH]]),1,1,1,1,1,1,2,2,2,2,2,2)</f>
        <v>SMT-2</v>
      </c>
      <c r="L386" s="20"/>
    </row>
    <row r="387" spans="1:12">
      <c r="A387" s="4">
        <v>45992</v>
      </c>
      <c r="B387" s="3" t="s">
        <v>20</v>
      </c>
      <c r="C387" s="11">
        <f>'[15]Realisasi Hilirisasi'!E183</f>
        <v>7.867</v>
      </c>
      <c r="D387" s="7">
        <f>'[15]Realisasi Hilirisasi'!F183</f>
        <v>86533938</v>
      </c>
      <c r="E387" s="5">
        <f>'[15]Realisasi Hilirisasi'!G183</f>
        <v>11336738</v>
      </c>
      <c r="F387" s="51">
        <f>IFERROR((InputData[[#This Row],[GROSS PROFIT]]/InputData[[#This Row],[REVENUE]])*100%,0)</f>
        <v>0.13100915388826984</v>
      </c>
      <c r="G387" s="3" t="str">
        <f>VLOOKUP(InputData[[#This Row],[PRODUCT ID]],Master[],2,0)</f>
        <v>CNP</v>
      </c>
      <c r="H387" s="3" t="str">
        <f>VLOOKUP(InputData[[#This Row],[PRODUCT ID]],Master[],3,0)</f>
        <v>KNI</v>
      </c>
      <c r="I387" s="3" t="str">
        <f>TEXT(InputData[[#This Row],[MONTH]],"MMMMMM")</f>
        <v>December</v>
      </c>
      <c r="J387" s="3">
        <f>YEAR(InputData[[#This Row],[MONTH]])</f>
        <v>2025</v>
      </c>
      <c r="K387" s="3" t="str">
        <f>"SMT-"&amp;CHOOSE(MONTH(InputData[[#This Row],[MONTH]]),1,1,1,1,1,1,2,2,2,2,2,2)</f>
        <v>SMT-2</v>
      </c>
      <c r="L387" s="20"/>
    </row>
    <row r="388" spans="1:12">
      <c r="A388" s="4">
        <v>45992</v>
      </c>
      <c r="B388" s="3" t="s">
        <v>23</v>
      </c>
      <c r="C388" s="11">
        <f>'[15]Realisasi Hilirisasi'!E184</f>
        <v>0</v>
      </c>
      <c r="D388" s="7">
        <f>'[15]Realisasi Hilirisasi'!F184</f>
        <v>0</v>
      </c>
      <c r="E388" s="5">
        <f>'[15]Realisasi Hilirisasi'!G184</f>
        <v>0</v>
      </c>
      <c r="F388" s="51">
        <f>IFERROR((InputData[[#This Row],[GROSS PROFIT]]/InputData[[#This Row],[REVENUE]])*100%,0)</f>
        <v>0</v>
      </c>
      <c r="G388" s="3" t="str">
        <f>VLOOKUP(InputData[[#This Row],[PRODUCT ID]],Master[],2,0)</f>
        <v>Other Product</v>
      </c>
      <c r="H388" s="3" t="str">
        <f>VLOOKUP(InputData[[#This Row],[PRODUCT ID]],Master[],3,0)</f>
        <v>KNI</v>
      </c>
      <c r="I388" s="3" t="str">
        <f>TEXT(InputData[[#This Row],[MONTH]],"MMMMMM")</f>
        <v>December</v>
      </c>
      <c r="J388" s="3">
        <f>YEAR(InputData[[#This Row],[MONTH]])</f>
        <v>2025</v>
      </c>
      <c r="K388" s="3" t="str">
        <f>"SMT-"&amp;CHOOSE(MONTH(InputData[[#This Row],[MONTH]]),1,1,1,1,1,1,2,2,2,2,2,2)</f>
        <v>SMT-2</v>
      </c>
      <c r="L388" s="20"/>
    </row>
    <row r="389" spans="1:12">
      <c r="A389" s="4">
        <v>45992</v>
      </c>
      <c r="B389" s="3" t="s">
        <v>21</v>
      </c>
      <c r="C389" s="11">
        <f>'[15]Realisasi Hilirisasi'!E185</f>
        <v>0</v>
      </c>
      <c r="D389" s="7">
        <f>'[15]Realisasi Hilirisasi'!F185</f>
        <v>0</v>
      </c>
      <c r="E389" s="5">
        <f>'[15]Realisasi Hilirisasi'!G185</f>
        <v>0</v>
      </c>
      <c r="F389" s="51">
        <f>IFERROR((InputData[[#This Row],[GROSS PROFIT]]/InputData[[#This Row],[REVENUE]])*100%,0)</f>
        <v>0</v>
      </c>
      <c r="G389" s="3" t="str">
        <f>VLOOKUP(InputData[[#This Row],[PRODUCT ID]],Master[],2,0)</f>
        <v>Welded Beam</v>
      </c>
      <c r="H389" s="3" t="str">
        <f>VLOOKUP(InputData[[#This Row],[PRODUCT ID]],Master[],3,0)</f>
        <v>KPdP</v>
      </c>
      <c r="I389" s="3" t="str">
        <f>TEXT(InputData[[#This Row],[MONTH]],"MMMMMM")</f>
        <v>December</v>
      </c>
      <c r="J389" s="3">
        <f>YEAR(InputData[[#This Row],[MONTH]])</f>
        <v>2025</v>
      </c>
      <c r="K389" s="3" t="str">
        <f>"SMT-"&amp;CHOOSE(MONTH(InputData[[#This Row],[MONTH]]),1,1,1,1,1,1,2,2,2,2,2,2)</f>
        <v>SMT-2</v>
      </c>
      <c r="L389" s="20"/>
    </row>
    <row r="390" spans="1:12">
      <c r="C390" s="11"/>
      <c r="F390" s="51"/>
      <c r="L390" s="20"/>
    </row>
    <row r="391" spans="1:12">
      <c r="L391" s="20"/>
    </row>
    <row r="392" spans="1:12">
      <c r="L392" s="20"/>
    </row>
    <row r="393" spans="1:12">
      <c r="L393" s="20"/>
    </row>
    <row r="394" spans="1:12">
      <c r="L394" s="20"/>
    </row>
    <row r="395" spans="1:12">
      <c r="L395" s="20"/>
    </row>
    <row r="396" spans="1:12">
      <c r="L396" s="20"/>
    </row>
    <row r="397" spans="1:12">
      <c r="L397" s="20"/>
    </row>
    <row r="398" spans="1:12">
      <c r="L398" s="20"/>
    </row>
    <row r="399" spans="1:12">
      <c r="L399" s="20"/>
    </row>
    <row r="400" spans="1:12">
      <c r="L400" s="20"/>
    </row>
    <row r="401" spans="12:12">
      <c r="L401" s="20"/>
    </row>
    <row r="402" spans="12:12">
      <c r="L402" s="20"/>
    </row>
    <row r="403" spans="12:12">
      <c r="L403" s="20"/>
    </row>
    <row r="404" spans="12:12">
      <c r="L404" s="20"/>
    </row>
    <row r="405" spans="12:12">
      <c r="L405" s="20"/>
    </row>
    <row r="406" spans="12:12">
      <c r="L406" s="20"/>
    </row>
  </sheetData>
  <phoneticPr fontId="2" type="noConversion"/>
  <pageMargins left="0.7" right="0.7" top="0.75" bottom="0.75" header="0.3" footer="0.3"/>
  <pageSetup paperSize="9" orientation="portrait" r:id="rId1"/>
  <ignoredErrors>
    <ignoredError sqref="K2 F2" calculatedColumn="1"/>
  </ignoredErrors>
  <tableParts count="1">
    <tablePart r:id="rId2"/>
  </tableParts>
</worksheet>
</file>

<file path=xl/worksheets/sheet3.xml><?xml version="1.0" encoding="utf-8"?>
<worksheet xmlns="http://schemas.openxmlformats.org/spreadsheetml/2006/main" xmlns:r="http://schemas.openxmlformats.org/officeDocument/2006/relationships">
  <sheetPr codeName="Sheet3">
    <tabColor theme="5" tint="-0.249977111117893"/>
  </sheetPr>
  <dimension ref="A3:MK185"/>
  <sheetViews>
    <sheetView topLeftCell="E1" workbookViewId="0">
      <selection activeCell="H4" sqref="H4:H17"/>
      <pivotSelection pane="bottomRight" showHeader="1" extendable="1" start="1" max="3" activeRow="2" activeCol="7" click="1" r:id="rId4">
        <pivotArea dataOnly="0" outline="0" fieldPosition="0">
          <references count="1">
            <reference field="4294967294" count="1">
              <x v="1"/>
            </reference>
          </references>
        </pivotArea>
      </pivotSelection>
    </sheetView>
  </sheetViews>
  <sheetFormatPr defaultRowHeight="14.25"/>
  <cols>
    <col min="1" max="1" width="13.75" customWidth="1"/>
    <col min="2" max="2" width="8.25" customWidth="1"/>
    <col min="3" max="3" width="15.625" bestFit="1" customWidth="1"/>
    <col min="4" max="4" width="14.625" bestFit="1" customWidth="1"/>
    <col min="5" max="5" width="7.625" customWidth="1"/>
    <col min="6" max="6" width="13.75" customWidth="1"/>
    <col min="7" max="7" width="8.25" bestFit="1" customWidth="1"/>
    <col min="8" max="8" width="16.625" bestFit="1" customWidth="1"/>
    <col min="9" max="9" width="15.625" bestFit="1" customWidth="1"/>
    <col min="10" max="10" width="3.875" customWidth="1"/>
    <col min="11" max="11" width="7.375" bestFit="1" customWidth="1"/>
    <col min="12" max="14" width="8.125" bestFit="1" customWidth="1"/>
    <col min="15" max="15" width="11.75" bestFit="1" customWidth="1"/>
    <col min="16" max="16" width="7.625" bestFit="1" customWidth="1"/>
    <col min="17" max="17" width="6.125" customWidth="1"/>
    <col min="18" max="18" width="2.875" customWidth="1"/>
    <col min="19" max="19" width="14.625" bestFit="1" customWidth="1"/>
    <col min="20" max="20" width="7.625" customWidth="1"/>
    <col min="21" max="21" width="2.625" customWidth="1"/>
    <col min="22" max="22" width="5.125" customWidth="1"/>
    <col min="23" max="23" width="9.625" customWidth="1"/>
    <col min="24" max="24" width="2.875" customWidth="1"/>
    <col min="25" max="25" width="13.75" customWidth="1"/>
    <col min="26" max="26" width="8.25" bestFit="1" customWidth="1"/>
    <col min="27" max="27" width="7.5" customWidth="1"/>
    <col min="28" max="28" width="3.25" customWidth="1"/>
    <col min="29" max="29" width="23" bestFit="1" customWidth="1"/>
    <col min="30" max="30" width="8.625" bestFit="1" customWidth="1"/>
    <col min="31" max="31" width="12.375" customWidth="1"/>
    <col min="32" max="32" width="3.75" customWidth="1"/>
    <col min="33" max="33" width="7.25" customWidth="1"/>
    <col min="34" max="34" width="19.125" customWidth="1"/>
    <col min="35" max="35" width="17.125" bestFit="1" customWidth="1"/>
    <col min="36" max="36" width="13.75" customWidth="1"/>
    <col min="37" max="37" width="17.375" bestFit="1" customWidth="1"/>
    <col min="38" max="38" width="18.875" bestFit="1" customWidth="1"/>
    <col min="39" max="39" width="2.375" customWidth="1"/>
    <col min="44" max="44" width="11.875" style="2" bestFit="1" customWidth="1"/>
    <col min="45" max="45" width="20.375" bestFit="1" customWidth="1"/>
    <col min="46" max="46" width="13.5" bestFit="1" customWidth="1"/>
    <col min="47" max="47" width="4.875" bestFit="1" customWidth="1"/>
    <col min="48" max="48" width="3.375" bestFit="1" customWidth="1"/>
    <col min="49" max="49" width="5.25" bestFit="1" customWidth="1"/>
    <col min="50" max="50" width="14.875" bestFit="1" customWidth="1"/>
    <col min="51" max="51" width="14.625" bestFit="1" customWidth="1"/>
    <col min="52" max="54" width="4.75" bestFit="1" customWidth="1"/>
    <col min="55" max="55" width="1.75" bestFit="1" customWidth="1"/>
    <col min="56" max="56" width="11.75" bestFit="1" customWidth="1"/>
    <col min="57" max="57" width="13.125" bestFit="1" customWidth="1"/>
    <col min="58" max="58" width="10.75" bestFit="1" customWidth="1"/>
    <col min="59" max="68" width="11.75" bestFit="1" customWidth="1"/>
    <col min="69" max="69" width="10.75" bestFit="1" customWidth="1"/>
    <col min="70" max="72" width="11.75" bestFit="1" customWidth="1"/>
    <col min="73" max="74" width="9.75" bestFit="1" customWidth="1"/>
    <col min="75" max="75" width="11.75" bestFit="1" customWidth="1"/>
    <col min="76" max="79" width="9.75" bestFit="1" customWidth="1"/>
    <col min="80" max="83" width="11.75" bestFit="1" customWidth="1"/>
    <col min="84" max="91" width="9.75" bestFit="1" customWidth="1"/>
    <col min="92" max="92" width="11.75" bestFit="1" customWidth="1"/>
    <col min="93" max="93" width="9.75" bestFit="1" customWidth="1"/>
    <col min="94" max="94" width="11.75" bestFit="1" customWidth="1"/>
    <col min="95" max="99" width="9.75" bestFit="1" customWidth="1"/>
    <col min="100" max="102" width="11.75" bestFit="1" customWidth="1"/>
    <col min="103" max="103" width="9.75" bestFit="1" customWidth="1"/>
    <col min="104" max="104" width="11.75" bestFit="1" customWidth="1"/>
    <col min="105" max="110" width="9.75" bestFit="1" customWidth="1"/>
    <col min="111" max="111" width="11.75" bestFit="1" customWidth="1"/>
    <col min="112" max="112" width="9.75" bestFit="1" customWidth="1"/>
    <col min="113" max="194" width="10.75" bestFit="1" customWidth="1"/>
    <col min="195" max="202" width="11.75" bestFit="1" customWidth="1"/>
    <col min="203" max="203" width="6.375" bestFit="1" customWidth="1"/>
    <col min="204" max="204" width="10" bestFit="1" customWidth="1"/>
    <col min="205" max="205" width="20.875" bestFit="1" customWidth="1"/>
    <col min="206" max="206" width="10.75" bestFit="1" customWidth="1"/>
    <col min="207" max="207" width="8.125" bestFit="1" customWidth="1"/>
    <col min="208" max="208" width="12.375" bestFit="1" customWidth="1"/>
    <col min="209" max="209" width="14.75" bestFit="1" customWidth="1"/>
    <col min="210" max="210" width="11.75" bestFit="1" customWidth="1"/>
    <col min="211" max="211" width="9.625" bestFit="1" customWidth="1"/>
    <col min="212" max="212" width="10.75" bestFit="1" customWidth="1"/>
    <col min="213" max="213" width="11.625" bestFit="1" customWidth="1"/>
    <col min="214" max="214" width="12.375" bestFit="1" customWidth="1"/>
    <col min="215" max="215" width="20.875" bestFit="1" customWidth="1"/>
    <col min="216" max="217" width="10.75" bestFit="1" customWidth="1"/>
    <col min="218" max="218" width="8.125" bestFit="1" customWidth="1"/>
    <col min="219" max="219" width="13.375" bestFit="1" customWidth="1"/>
    <col min="220" max="220" width="19.875" bestFit="1" customWidth="1"/>
    <col min="221" max="221" width="10.75" bestFit="1" customWidth="1"/>
    <col min="222" max="222" width="9.625" bestFit="1" customWidth="1"/>
    <col min="223" max="223" width="10.75" bestFit="1" customWidth="1"/>
    <col min="224" max="224" width="9.625" bestFit="1" customWidth="1"/>
    <col min="225" max="225" width="10.75" bestFit="1" customWidth="1"/>
    <col min="226" max="226" width="11.625" bestFit="1" customWidth="1"/>
    <col min="227" max="227" width="11.375" bestFit="1" customWidth="1"/>
    <col min="228" max="228" width="13.75" bestFit="1" customWidth="1"/>
    <col min="229" max="229" width="10.75" bestFit="1" customWidth="1"/>
    <col min="230" max="230" width="8.125" bestFit="1" customWidth="1"/>
    <col min="231" max="231" width="10.75" bestFit="1" customWidth="1"/>
    <col min="232" max="232" width="9.625" bestFit="1" customWidth="1"/>
    <col min="233" max="233" width="12.375" bestFit="1" customWidth="1"/>
    <col min="234" max="234" width="20.875" bestFit="1" customWidth="1"/>
    <col min="235" max="235" width="13.375" bestFit="1" customWidth="1"/>
    <col min="236" max="236" width="20.875" bestFit="1" customWidth="1"/>
    <col min="237" max="237" width="13.375" bestFit="1" customWidth="1"/>
    <col min="238" max="238" width="20.875" bestFit="1" customWidth="1"/>
    <col min="239" max="239" width="13.375" bestFit="1" customWidth="1"/>
    <col min="240" max="240" width="20.875" bestFit="1" customWidth="1"/>
    <col min="241" max="241" width="13.375" bestFit="1" customWidth="1"/>
    <col min="242" max="242" width="20.875" bestFit="1" customWidth="1"/>
    <col min="243" max="243" width="13.375" bestFit="1" customWidth="1"/>
    <col min="244" max="244" width="20.875" bestFit="1" customWidth="1"/>
    <col min="245" max="245" width="13.375" bestFit="1" customWidth="1"/>
    <col min="246" max="246" width="20.875" bestFit="1" customWidth="1"/>
    <col min="247" max="247" width="10.75" bestFit="1" customWidth="1"/>
    <col min="248" max="248" width="11.625" bestFit="1" customWidth="1"/>
    <col min="249" max="249" width="10.75" bestFit="1" customWidth="1"/>
    <col min="250" max="250" width="9.625" bestFit="1" customWidth="1"/>
    <col min="251" max="251" width="10.75" bestFit="1" customWidth="1"/>
    <col min="252" max="252" width="8.125" bestFit="1" customWidth="1"/>
    <col min="253" max="253" width="13.375" bestFit="1" customWidth="1"/>
    <col min="254" max="254" width="20.875" bestFit="1" customWidth="1"/>
    <col min="255" max="255" width="10.75" bestFit="1" customWidth="1"/>
    <col min="256" max="256" width="9.625" bestFit="1" customWidth="1"/>
    <col min="257" max="257" width="10.75" bestFit="1" customWidth="1"/>
    <col min="258" max="258" width="11.625" bestFit="1" customWidth="1"/>
    <col min="259" max="259" width="10.75" bestFit="1" customWidth="1"/>
    <col min="260" max="260" width="12.625" bestFit="1" customWidth="1"/>
    <col min="261" max="261" width="13.375" bestFit="1" customWidth="1"/>
    <col min="262" max="262" width="20.875" bestFit="1" customWidth="1"/>
    <col min="263" max="263" width="13.375" bestFit="1" customWidth="1"/>
    <col min="264" max="264" width="20.875" bestFit="1" customWidth="1"/>
    <col min="265" max="265" width="10.75" bestFit="1" customWidth="1"/>
    <col min="266" max="266" width="12.625" bestFit="1" customWidth="1"/>
    <col min="267" max="267" width="13.375" bestFit="1" customWidth="1"/>
    <col min="268" max="268" width="20.875" bestFit="1" customWidth="1"/>
    <col min="269" max="269" width="10.75" bestFit="1" customWidth="1"/>
    <col min="270" max="270" width="8.125" bestFit="1" customWidth="1"/>
    <col min="271" max="271" width="13.375" bestFit="1" customWidth="1"/>
    <col min="272" max="272" width="20.875" bestFit="1" customWidth="1"/>
    <col min="273" max="273" width="10.75" bestFit="1" customWidth="1"/>
    <col min="274" max="274" width="8.125" bestFit="1" customWidth="1"/>
    <col min="275" max="275" width="13.375" bestFit="1" customWidth="1"/>
    <col min="276" max="276" width="20.875" bestFit="1" customWidth="1"/>
    <col min="277" max="277" width="13.375" bestFit="1" customWidth="1"/>
    <col min="278" max="278" width="20.875" bestFit="1" customWidth="1"/>
    <col min="279" max="279" width="10.75" bestFit="1" customWidth="1"/>
    <col min="280" max="280" width="8.125" bestFit="1" customWidth="1"/>
    <col min="281" max="281" width="10.75" bestFit="1" customWidth="1"/>
    <col min="282" max="282" width="8.125" bestFit="1" customWidth="1"/>
    <col min="283" max="283" width="13.375" bestFit="1" customWidth="1"/>
    <col min="284" max="284" width="20.875" bestFit="1" customWidth="1"/>
    <col min="285" max="285" width="10.75" bestFit="1" customWidth="1"/>
    <col min="286" max="286" width="11.625" bestFit="1" customWidth="1"/>
    <col min="287" max="287" width="13.375" bestFit="1" customWidth="1"/>
    <col min="288" max="288" width="20.875" bestFit="1" customWidth="1"/>
    <col min="289" max="289" width="13.375" bestFit="1" customWidth="1"/>
    <col min="290" max="290" width="20.875" bestFit="1" customWidth="1"/>
    <col min="291" max="291" width="13.375" bestFit="1" customWidth="1"/>
    <col min="292" max="292" width="20.875" bestFit="1" customWidth="1"/>
    <col min="293" max="293" width="10.75" bestFit="1" customWidth="1"/>
    <col min="294" max="294" width="9.625" bestFit="1" customWidth="1"/>
    <col min="295" max="295" width="13.375" bestFit="1" customWidth="1"/>
    <col min="296" max="296" width="20.875" bestFit="1" customWidth="1"/>
    <col min="297" max="297" width="10.75" bestFit="1" customWidth="1"/>
    <col min="298" max="298" width="8.125" bestFit="1" customWidth="1"/>
    <col min="299" max="299" width="13.375" bestFit="1" customWidth="1"/>
    <col min="300" max="300" width="20.875" bestFit="1" customWidth="1"/>
    <col min="301" max="301" width="13.375" bestFit="1" customWidth="1"/>
    <col min="302" max="302" width="20.875" bestFit="1" customWidth="1"/>
    <col min="303" max="303" width="13.375" bestFit="1" customWidth="1"/>
    <col min="304" max="304" width="20.875" bestFit="1" customWidth="1"/>
    <col min="305" max="305" width="13.375" bestFit="1" customWidth="1"/>
    <col min="306" max="306" width="20.875" bestFit="1" customWidth="1"/>
    <col min="307" max="307" width="12.375" bestFit="1" customWidth="1"/>
    <col min="308" max="308" width="14.75" bestFit="1" customWidth="1"/>
    <col min="309" max="309" width="13.375" bestFit="1" customWidth="1"/>
    <col min="310" max="310" width="20.875" bestFit="1" customWidth="1"/>
    <col min="311" max="311" width="13.375" bestFit="1" customWidth="1"/>
    <col min="312" max="312" width="20.875" bestFit="1" customWidth="1"/>
    <col min="313" max="313" width="10.75" bestFit="1" customWidth="1"/>
    <col min="314" max="314" width="11.625" bestFit="1" customWidth="1"/>
    <col min="315" max="315" width="13.375" bestFit="1" customWidth="1"/>
    <col min="316" max="316" width="20.875" bestFit="1" customWidth="1"/>
    <col min="317" max="317" width="13.375" bestFit="1" customWidth="1"/>
    <col min="318" max="318" width="20.875" bestFit="1" customWidth="1"/>
    <col min="319" max="319" width="13.375" bestFit="1" customWidth="1"/>
    <col min="320" max="320" width="20.875" bestFit="1" customWidth="1"/>
    <col min="321" max="321" width="13.375" bestFit="1" customWidth="1"/>
    <col min="322" max="322" width="20.875" bestFit="1" customWidth="1"/>
    <col min="323" max="323" width="13.375" bestFit="1" customWidth="1"/>
    <col min="324" max="324" width="20.875" bestFit="1" customWidth="1"/>
    <col min="325" max="325" width="11.75" bestFit="1" customWidth="1"/>
    <col min="326" max="326" width="11.625" bestFit="1" customWidth="1"/>
    <col min="327" max="327" width="13.375" bestFit="1" customWidth="1"/>
    <col min="328" max="328" width="20.875" bestFit="1" customWidth="1"/>
    <col min="329" max="329" width="10.75" bestFit="1" customWidth="1"/>
    <col min="330" max="330" width="11.625" bestFit="1" customWidth="1"/>
    <col min="331" max="331" width="11.75" bestFit="1" customWidth="1"/>
    <col min="332" max="332" width="11.625" bestFit="1" customWidth="1"/>
    <col min="333" max="333" width="10.75" bestFit="1" customWidth="1"/>
    <col min="334" max="334" width="8.125" bestFit="1" customWidth="1"/>
    <col min="335" max="335" width="11.75" bestFit="1" customWidth="1"/>
    <col min="336" max="336" width="20.875" bestFit="1" customWidth="1"/>
    <col min="337" max="337" width="13.375" bestFit="1" customWidth="1"/>
    <col min="338" max="338" width="20.875" bestFit="1" customWidth="1"/>
    <col min="339" max="339" width="12.375" bestFit="1" customWidth="1"/>
    <col min="340" max="340" width="14.75" bestFit="1" customWidth="1"/>
    <col min="341" max="341" width="13.375" bestFit="1" customWidth="1"/>
    <col min="342" max="342" width="20.875" bestFit="1" customWidth="1"/>
    <col min="343" max="343" width="11.75" bestFit="1" customWidth="1"/>
    <col min="344" max="344" width="12.625" bestFit="1" customWidth="1"/>
    <col min="345" max="345" width="11.75" bestFit="1" customWidth="1"/>
    <col min="346" max="346" width="12.625" bestFit="1" customWidth="1"/>
    <col min="347" max="347" width="8" bestFit="1" customWidth="1"/>
    <col min="348" max="348" width="10.75" bestFit="1" customWidth="1"/>
    <col min="349" max="349" width="10" bestFit="1" customWidth="1"/>
  </cols>
  <sheetData>
    <row r="3" spans="1:349" s="1" customFormat="1" ht="28.5">
      <c r="A3"/>
      <c r="B3" s="62" t="s">
        <v>77</v>
      </c>
      <c r="C3"/>
      <c r="D3"/>
      <c r="E3" s="26"/>
      <c r="F3"/>
      <c r="G3" s="62" t="s">
        <v>77</v>
      </c>
      <c r="H3"/>
      <c r="I3"/>
      <c r="J3"/>
      <c r="N3"/>
      <c r="O3" t="b">
        <v>1</v>
      </c>
      <c r="P3" t="b">
        <v>1</v>
      </c>
      <c r="Q3" t="b">
        <v>1</v>
      </c>
      <c r="R3"/>
      <c r="S3" s="25" t="s">
        <v>8</v>
      </c>
      <c r="T3" s="26" t="s">
        <v>43</v>
      </c>
      <c r="U3"/>
      <c r="V3" s="57" t="s">
        <v>60</v>
      </c>
      <c r="W3" s="57"/>
      <c r="X3"/>
      <c r="Y3"/>
      <c r="Z3" s="62" t="s">
        <v>77</v>
      </c>
      <c r="AA3"/>
      <c r="AB3"/>
      <c r="AC3"/>
      <c r="AD3" s="62" t="s">
        <v>77</v>
      </c>
      <c r="AE3"/>
      <c r="AG3" s="57" t="s">
        <v>59</v>
      </c>
      <c r="AH3" s="57"/>
      <c r="AK3" s="39" t="s">
        <v>77</v>
      </c>
      <c r="AR3" s="2"/>
      <c r="AS3" s="46" t="s">
        <v>77</v>
      </c>
      <c r="AT3" s="2"/>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row>
    <row r="4" spans="1:349" s="1" customFormat="1" ht="42.75">
      <c r="A4" s="25" t="s">
        <v>46</v>
      </c>
      <c r="B4" s="26" t="s">
        <v>43</v>
      </c>
      <c r="C4" s="26" t="s">
        <v>44</v>
      </c>
      <c r="D4" s="26" t="s">
        <v>45</v>
      </c>
      <c r="E4" s="13"/>
      <c r="F4" s="25" t="s">
        <v>46</v>
      </c>
      <c r="G4" s="26" t="s">
        <v>43</v>
      </c>
      <c r="H4" s="26" t="s">
        <v>44</v>
      </c>
      <c r="I4" s="26" t="s">
        <v>45</v>
      </c>
      <c r="J4" s="13"/>
      <c r="K4" s="35"/>
      <c r="L4" s="35" t="s">
        <v>56</v>
      </c>
      <c r="M4" s="35" t="s">
        <v>36</v>
      </c>
      <c r="N4" s="36" t="s">
        <v>57</v>
      </c>
      <c r="O4" s="37" t="s">
        <v>56</v>
      </c>
      <c r="P4" s="37" t="s">
        <v>36</v>
      </c>
      <c r="Q4" s="37" t="s">
        <v>57</v>
      </c>
      <c r="R4"/>
      <c r="S4" t="s">
        <v>0</v>
      </c>
      <c r="T4" s="18">
        <v>25198.00635690261</v>
      </c>
      <c r="U4"/>
      <c r="V4" s="29" t="str">
        <f>INDEX(S4:T7,MATCH(MAX(T4:T7),T4:T7,0),1)</f>
        <v>KBK</v>
      </c>
      <c r="W4" s="30">
        <f>INDEX(S4:T7,MATCH(MAX(T4:T7),T4:T7,0),2)</f>
        <v>25198.00635690261</v>
      </c>
      <c r="X4" s="23"/>
      <c r="Y4" s="25" t="s">
        <v>46</v>
      </c>
      <c r="Z4" s="26" t="s">
        <v>43</v>
      </c>
      <c r="AA4" s="26" t="s">
        <v>49</v>
      </c>
      <c r="AB4"/>
      <c r="AC4" s="25" t="s">
        <v>46</v>
      </c>
      <c r="AD4" s="26" t="s">
        <v>43</v>
      </c>
      <c r="AE4" s="26" t="s">
        <v>52</v>
      </c>
      <c r="AG4" s="43">
        <f>INDEX(AC4:AE14,MATCH(MAX(AE4:AE14),AE4:AE14,0),3)</f>
        <v>3.6160916945158044</v>
      </c>
      <c r="AH4" s="43" t="str">
        <f>INDEX(AC4:AE14,MATCH(MAX(AE4:AE14),AE4:AE14,0),1)</f>
        <v>Steel Creative &amp; Component</v>
      </c>
      <c r="AJ4" s="39" t="s">
        <v>46</v>
      </c>
      <c r="AK4" s="1" t="s">
        <v>44</v>
      </c>
      <c r="AL4" s="1" t="s">
        <v>45</v>
      </c>
      <c r="AM4" s="40"/>
      <c r="AN4" s="1" t="str">
        <f>AJ4</f>
        <v>Row Labels</v>
      </c>
      <c r="AO4" s="41" t="e">
        <f>AK4/10^9</f>
        <v>#VALUE!</v>
      </c>
      <c r="AP4" s="41" t="e">
        <f>AL4/10^6</f>
        <v>#VALUE!</v>
      </c>
      <c r="AR4" s="46" t="s">
        <v>46</v>
      </c>
      <c r="AS4" s="2" t="s">
        <v>49</v>
      </c>
      <c r="AT4" s="2" t="s">
        <v>43</v>
      </c>
      <c r="AU4"/>
      <c r="AV4"/>
      <c r="AW4" t="s">
        <v>63</v>
      </c>
      <c r="AX4" t="s">
        <v>64</v>
      </c>
      <c r="AY4" t="s">
        <v>65</v>
      </c>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row>
    <row r="5" spans="1:349" s="1" customFormat="1" ht="14.1" customHeight="1">
      <c r="A5" s="10">
        <v>2024</v>
      </c>
      <c r="B5" s="18">
        <v>1811.2051302130094</v>
      </c>
      <c r="C5" s="13">
        <v>29113650155.461769</v>
      </c>
      <c r="D5" s="13">
        <v>2661263618.4357119</v>
      </c>
      <c r="E5" s="13"/>
      <c r="F5" s="10">
        <v>2024</v>
      </c>
      <c r="G5" s="18">
        <v>17067.100860754494</v>
      </c>
      <c r="H5" s="13">
        <v>310270962880.8963</v>
      </c>
      <c r="I5" s="13">
        <v>16958839882.980564</v>
      </c>
      <c r="J5" s="13"/>
      <c r="K5" s="33">
        <f>F5</f>
        <v>2024</v>
      </c>
      <c r="L5" s="34">
        <f>G5/10^3</f>
        <v>17.067100860754493</v>
      </c>
      <c r="M5" s="34">
        <f>H5/10^9</f>
        <v>310.27096288089632</v>
      </c>
      <c r="N5" s="34">
        <f>I5/10^9</f>
        <v>16.958839882980563</v>
      </c>
      <c r="O5" s="38">
        <f>IF(O$3,L5,NA())</f>
        <v>17.067100860754493</v>
      </c>
      <c r="P5" s="38">
        <f t="shared" ref="P5:Q5" si="0">IF(P$3,M5,NA())</f>
        <v>310.27096288089632</v>
      </c>
      <c r="Q5" s="38">
        <f t="shared" si="0"/>
        <v>16.958839882980563</v>
      </c>
      <c r="R5"/>
      <c r="S5" t="s">
        <v>2</v>
      </c>
      <c r="T5" s="18">
        <v>17351.345004643354</v>
      </c>
      <c r="U5"/>
      <c r="V5" s="58" t="str">
        <f>INDEX(AC4:AE14,MATCH(MAX(AD4:AD14),AD4:AD14,0),1)</f>
        <v>Steel Creative &amp; Component</v>
      </c>
      <c r="W5" s="58"/>
      <c r="X5"/>
      <c r="Y5" s="10" t="s">
        <v>0</v>
      </c>
      <c r="Z5" s="2">
        <v>25198.00635690261</v>
      </c>
      <c r="AA5" s="18">
        <v>23335.78</v>
      </c>
      <c r="AB5"/>
      <c r="AC5" s="10" t="s">
        <v>27</v>
      </c>
      <c r="AD5" s="24">
        <v>211.9247574039735</v>
      </c>
      <c r="AE5" s="16">
        <v>0.89734150564448567</v>
      </c>
      <c r="AG5" s="30">
        <f>INDEX(AC4:AD14,MATCH(MAX(AD4:AD14),AD4:AD14,0),2)</f>
        <v>12510.103339594629</v>
      </c>
      <c r="AH5" s="42" t="str">
        <f>INDEX(AC4:AD14,MATCH(MAX(AD4:AD14),AD4:AD14,0),1)</f>
        <v>Steel Creative &amp; Component</v>
      </c>
      <c r="AI5"/>
      <c r="AJ5" s="1" t="s">
        <v>0</v>
      </c>
      <c r="AK5" s="41">
        <v>393548381242.65204</v>
      </c>
      <c r="AL5" s="41">
        <v>26248319135.552814</v>
      </c>
      <c r="AM5" s="40"/>
      <c r="AN5" s="1" t="str">
        <f t="shared" ref="AN5:AN7" si="1">AJ5</f>
        <v>KBK</v>
      </c>
      <c r="AO5" s="41">
        <f t="shared" ref="AO5:AO8" si="2">AK5/10^9</f>
        <v>393.54838124265206</v>
      </c>
      <c r="AP5" s="41">
        <f t="shared" ref="AP5:AP8" si="3">AL5/10^6</f>
        <v>26248.319135552814</v>
      </c>
      <c r="AR5" s="47">
        <v>44927</v>
      </c>
      <c r="AS5" s="2">
        <v>1500</v>
      </c>
      <c r="AT5" s="2">
        <v>1659.31</v>
      </c>
      <c r="AU5"/>
      <c r="AV5"/>
      <c r="AW5" s="2">
        <f>AR5</f>
        <v>44927</v>
      </c>
      <c r="AX5" s="2">
        <f>AS5</f>
        <v>1500</v>
      </c>
      <c r="AY5" s="2">
        <f>AT5</f>
        <v>1659.31</v>
      </c>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row>
    <row r="6" spans="1:349">
      <c r="A6" s="15" t="s">
        <v>74</v>
      </c>
      <c r="B6" s="18">
        <v>1811.2051302130094</v>
      </c>
      <c r="C6" s="13">
        <v>29113650155.461769</v>
      </c>
      <c r="D6" s="13">
        <v>2661263618.4357119</v>
      </c>
      <c r="E6" s="13"/>
      <c r="F6" s="15" t="s">
        <v>51</v>
      </c>
      <c r="G6" s="18">
        <v>1430.0186211033574</v>
      </c>
      <c r="H6" s="13">
        <v>18956763032.619999</v>
      </c>
      <c r="I6" s="13">
        <v>690220673.03331995</v>
      </c>
      <c r="J6" s="13"/>
      <c r="K6" s="33" t="str">
        <f t="shared" ref="K6:K7" si="4">F6</f>
        <v>January</v>
      </c>
      <c r="L6" s="34">
        <f t="shared" ref="L6:L10" si="5">G6/10^3</f>
        <v>1.4300186211033574</v>
      </c>
      <c r="M6" s="34">
        <f t="shared" ref="M6:M10" si="6">H6/10^9</f>
        <v>18.95676303262</v>
      </c>
      <c r="N6" s="34">
        <f t="shared" ref="N6:N10" si="7">I6/10^9</f>
        <v>0.69022067303331991</v>
      </c>
      <c r="O6" s="38">
        <f t="shared" ref="O6:O10" si="8">IF(O$3,L6,NA())</f>
        <v>1.4300186211033574</v>
      </c>
      <c r="P6" s="38">
        <f t="shared" ref="P6:P10" si="9">IF(P$3,M6,NA())</f>
        <v>18.95676303262</v>
      </c>
      <c r="Q6" s="38">
        <f t="shared" ref="Q6:Q10" si="10">IF(Q$3,N6,NA())</f>
        <v>0.69022067303331991</v>
      </c>
      <c r="S6" t="s">
        <v>3</v>
      </c>
      <c r="T6" s="18">
        <v>4090.0957142857146</v>
      </c>
      <c r="V6" s="22"/>
      <c r="W6" s="19"/>
      <c r="X6" s="19"/>
      <c r="Y6" s="10" t="s">
        <v>2</v>
      </c>
      <c r="Z6" s="2">
        <v>17351.345004643354</v>
      </c>
      <c r="AA6" s="18">
        <v>11322</v>
      </c>
      <c r="AC6" s="10" t="s">
        <v>28</v>
      </c>
      <c r="AD6" s="24">
        <v>653.2877400000001</v>
      </c>
      <c r="AE6" s="16">
        <v>3.1185467684573536</v>
      </c>
      <c r="AJ6" s="1" t="s">
        <v>2</v>
      </c>
      <c r="AK6" s="41">
        <v>280637002738.75104</v>
      </c>
      <c r="AL6" s="41">
        <v>17426753523.944389</v>
      </c>
      <c r="AM6" s="40"/>
      <c r="AN6" s="1" t="str">
        <f t="shared" si="1"/>
        <v>KNI</v>
      </c>
      <c r="AO6" s="41">
        <f t="shared" si="2"/>
        <v>280.63700273875105</v>
      </c>
      <c r="AP6" s="41">
        <f t="shared" si="3"/>
        <v>17426.75352394439</v>
      </c>
      <c r="AR6" s="49" t="s">
        <v>0</v>
      </c>
      <c r="AS6" s="2">
        <v>299.42000000000007</v>
      </c>
      <c r="AT6" s="2">
        <v>316.59999999999997</v>
      </c>
      <c r="AW6" s="2">
        <f>AR10</f>
        <v>44958</v>
      </c>
      <c r="AX6" s="2">
        <f>AX5+AS10</f>
        <v>3000</v>
      </c>
      <c r="AY6" s="2">
        <f>AY5+AT10</f>
        <v>3133.5845599014542</v>
      </c>
    </row>
    <row r="7" spans="1:349">
      <c r="E7" s="13"/>
      <c r="F7" s="15" t="s">
        <v>58</v>
      </c>
      <c r="G7" s="18">
        <v>1979.6462627977528</v>
      </c>
      <c r="H7" s="13">
        <v>31385617945</v>
      </c>
      <c r="I7" s="13">
        <v>1108696707.4849999</v>
      </c>
      <c r="J7" s="13"/>
      <c r="K7" s="33" t="str">
        <f t="shared" si="4"/>
        <v>February</v>
      </c>
      <c r="L7" s="34">
        <f t="shared" si="5"/>
        <v>1.9796462627977527</v>
      </c>
      <c r="M7" s="34">
        <f t="shared" si="6"/>
        <v>31.385617945</v>
      </c>
      <c r="N7" s="34">
        <f t="shared" si="7"/>
        <v>1.1086967074849998</v>
      </c>
      <c r="O7" s="38">
        <f t="shared" si="8"/>
        <v>1.9796462627977527</v>
      </c>
      <c r="P7" s="38">
        <f t="shared" si="9"/>
        <v>31.385617945</v>
      </c>
      <c r="Q7" s="38">
        <f t="shared" si="10"/>
        <v>1.1086967074849998</v>
      </c>
      <c r="S7" t="s">
        <v>1</v>
      </c>
      <c r="T7" s="18">
        <v>21460.480214357616</v>
      </c>
      <c r="V7" s="22"/>
      <c r="W7" s="19"/>
      <c r="X7" s="19"/>
      <c r="Y7" s="10" t="s">
        <v>3</v>
      </c>
      <c r="Z7" s="2">
        <v>4090.0957142857146</v>
      </c>
      <c r="AA7" s="18">
        <v>4992.22</v>
      </c>
      <c r="AC7" s="10" t="s">
        <v>38</v>
      </c>
      <c r="AD7" s="24">
        <v>1720.8085714285712</v>
      </c>
      <c r="AE7" s="16">
        <v>0.08</v>
      </c>
      <c r="AJ7" s="1" t="s">
        <v>3</v>
      </c>
      <c r="AK7" s="41">
        <v>78259135295.219879</v>
      </c>
      <c r="AL7" s="41">
        <v>3340365411.808795</v>
      </c>
      <c r="AM7" s="40"/>
      <c r="AN7" s="1" t="str">
        <f t="shared" si="1"/>
        <v>KPdP</v>
      </c>
      <c r="AO7" s="41">
        <f t="shared" si="2"/>
        <v>78.259135295219878</v>
      </c>
      <c r="AP7" s="41">
        <f t="shared" si="3"/>
        <v>3340.3654118087948</v>
      </c>
      <c r="AR7" s="49" t="s">
        <v>2</v>
      </c>
      <c r="AS7" s="2">
        <v>543</v>
      </c>
      <c r="AT7" s="2">
        <v>1115</v>
      </c>
      <c r="AW7" s="2">
        <f>AR15</f>
        <v>44986</v>
      </c>
      <c r="AX7" s="2">
        <f>AX6+AS15</f>
        <v>4500</v>
      </c>
      <c r="AY7" s="2">
        <f>AY6+AT15</f>
        <v>4783.8184358647304</v>
      </c>
    </row>
    <row r="8" spans="1:349">
      <c r="E8" s="13"/>
      <c r="F8" s="15" t="s">
        <v>62</v>
      </c>
      <c r="G8" s="18">
        <v>833.88039939237706</v>
      </c>
      <c r="H8" s="13">
        <v>13690953878</v>
      </c>
      <c r="I8" s="13">
        <v>677192395.91306305</v>
      </c>
      <c r="J8" s="13"/>
      <c r="K8" s="50" t="str">
        <f>F8</f>
        <v>March</v>
      </c>
      <c r="L8" s="34">
        <f t="shared" si="5"/>
        <v>0.83388039939237701</v>
      </c>
      <c r="M8" s="34">
        <f t="shared" si="6"/>
        <v>13.690953878</v>
      </c>
      <c r="N8" s="34">
        <f t="shared" si="7"/>
        <v>0.67719239591306302</v>
      </c>
      <c r="O8" s="38">
        <f t="shared" si="8"/>
        <v>0.83388039939237701</v>
      </c>
      <c r="P8" s="38">
        <f t="shared" si="9"/>
        <v>13.690953878</v>
      </c>
      <c r="Q8" s="38">
        <f t="shared" si="10"/>
        <v>0.67719239591306302</v>
      </c>
      <c r="S8" t="s">
        <v>47</v>
      </c>
      <c r="T8" s="18">
        <v>68099.927290189298</v>
      </c>
      <c r="V8" s="22"/>
      <c r="W8" s="19"/>
      <c r="X8" s="19"/>
      <c r="Y8" s="10" t="s">
        <v>1</v>
      </c>
      <c r="Z8" s="2">
        <v>21460.480214357616</v>
      </c>
      <c r="AA8" s="18">
        <v>13025</v>
      </c>
      <c r="AC8" s="10" t="s">
        <v>32</v>
      </c>
      <c r="AD8" s="24">
        <v>5303.9400299999998</v>
      </c>
      <c r="AE8" s="16">
        <v>0.60867616206966657</v>
      </c>
      <c r="AJ8" s="1" t="s">
        <v>1</v>
      </c>
      <c r="AK8" s="41">
        <v>312919476330.31873</v>
      </c>
      <c r="AL8" s="41">
        <v>19497134495.516453</v>
      </c>
      <c r="AM8" s="40"/>
      <c r="AO8" s="41">
        <f t="shared" si="2"/>
        <v>312.91947633031873</v>
      </c>
      <c r="AP8" s="41">
        <f t="shared" si="3"/>
        <v>19497.134495516453</v>
      </c>
      <c r="AR8" s="49" t="s">
        <v>3</v>
      </c>
      <c r="AS8" s="2">
        <v>157.58000000000001</v>
      </c>
      <c r="AT8" s="2">
        <v>85.71</v>
      </c>
      <c r="AW8" s="2">
        <f>AR20</f>
        <v>45017</v>
      </c>
      <c r="AX8" s="2">
        <f>AX7+AS20</f>
        <v>6000</v>
      </c>
      <c r="AY8" s="2">
        <f>AY7+AT20</f>
        <v>5535.1822979583267</v>
      </c>
    </row>
    <row r="9" spans="1:349">
      <c r="E9" s="13"/>
      <c r="F9" s="15" t="s">
        <v>66</v>
      </c>
      <c r="G9" s="18">
        <v>968.73094454625436</v>
      </c>
      <c r="H9" s="13">
        <v>18354060048.886963</v>
      </c>
      <c r="I9" s="13">
        <v>963032936.7260884</v>
      </c>
      <c r="J9" s="13"/>
      <c r="K9" s="50" t="str">
        <f>F9</f>
        <v>April</v>
      </c>
      <c r="L9" s="34">
        <f t="shared" si="5"/>
        <v>0.96873094454625441</v>
      </c>
      <c r="M9" s="34">
        <f t="shared" si="6"/>
        <v>18.354060048886964</v>
      </c>
      <c r="N9" s="34">
        <f t="shared" si="7"/>
        <v>0.96303293672608836</v>
      </c>
      <c r="O9" s="38">
        <f t="shared" si="8"/>
        <v>0.96873094454625441</v>
      </c>
      <c r="P9" s="38">
        <f t="shared" si="9"/>
        <v>18.354060048886964</v>
      </c>
      <c r="Q9" s="38">
        <f t="shared" si="10"/>
        <v>0.96303293672608836</v>
      </c>
      <c r="W9" s="16"/>
      <c r="X9" s="16"/>
      <c r="Y9" s="10" t="s">
        <v>47</v>
      </c>
      <c r="Z9" s="2">
        <v>68099.927290189298</v>
      </c>
      <c r="AA9" s="54">
        <v>52675</v>
      </c>
      <c r="AC9" s="10" t="s">
        <v>13</v>
      </c>
      <c r="AD9" s="24">
        <v>8306.6904569536418</v>
      </c>
      <c r="AE9" s="16">
        <v>0.74842870889192603</v>
      </c>
      <c r="AJ9" s="1" t="s">
        <v>47</v>
      </c>
      <c r="AK9" s="41">
        <v>1065363995606.9417</v>
      </c>
      <c r="AL9" s="41">
        <v>66512572566.822449</v>
      </c>
      <c r="AR9" s="49" t="s">
        <v>1</v>
      </c>
      <c r="AS9" s="2">
        <v>500</v>
      </c>
      <c r="AT9" s="2">
        <v>142</v>
      </c>
      <c r="AW9" s="2">
        <f>AR25</f>
        <v>45047</v>
      </c>
      <c r="AX9" s="2">
        <f>AX8+AS25</f>
        <v>7750</v>
      </c>
      <c r="AY9" s="2">
        <f>AY8+AT25</f>
        <v>7777.9320936193417</v>
      </c>
    </row>
    <row r="10" spans="1:349">
      <c r="E10" s="13"/>
      <c r="F10" s="15" t="s">
        <v>67</v>
      </c>
      <c r="G10" s="18">
        <v>1329.2652193983445</v>
      </c>
      <c r="H10" s="13">
        <v>22617977643.72504</v>
      </c>
      <c r="I10" s="13">
        <v>854681278.80210793</v>
      </c>
      <c r="J10" s="13"/>
      <c r="K10" s="50" t="str">
        <f>F10</f>
        <v>May</v>
      </c>
      <c r="L10" s="34">
        <f t="shared" si="5"/>
        <v>1.3292652193983445</v>
      </c>
      <c r="M10" s="34">
        <f t="shared" si="6"/>
        <v>22.617977643725041</v>
      </c>
      <c r="N10" s="34">
        <f t="shared" si="7"/>
        <v>0.85468127880210798</v>
      </c>
      <c r="O10" s="38">
        <f t="shared" si="8"/>
        <v>1.3292652193983445</v>
      </c>
      <c r="P10" s="38">
        <f t="shared" si="9"/>
        <v>22.617977643725041</v>
      </c>
      <c r="Q10" s="38">
        <f t="shared" si="10"/>
        <v>0.85468127880210798</v>
      </c>
      <c r="AA10" s="31" t="s">
        <v>55</v>
      </c>
      <c r="AC10" s="10" t="s">
        <v>15</v>
      </c>
      <c r="AD10" s="24">
        <v>1273.8519999999999</v>
      </c>
      <c r="AE10" s="16">
        <v>0.49845669485278371</v>
      </c>
      <c r="AR10" s="47">
        <v>44958</v>
      </c>
      <c r="AS10" s="2">
        <v>1500</v>
      </c>
      <c r="AT10" s="2">
        <v>1474.2745599014543</v>
      </c>
      <c r="AW10" s="2">
        <f>AR30</f>
        <v>45078</v>
      </c>
      <c r="AX10" s="2">
        <f>AX9+AS30</f>
        <v>9750</v>
      </c>
      <c r="AY10" s="2">
        <f>AY9+AT30</f>
        <v>9448.0738461872315</v>
      </c>
    </row>
    <row r="11" spans="1:349">
      <c r="F11" s="15" t="s">
        <v>68</v>
      </c>
      <c r="G11" s="18">
        <v>1538.276039760882</v>
      </c>
      <c r="H11" s="13">
        <v>32559885094.510002</v>
      </c>
      <c r="I11" s="13">
        <v>1245283199.7446172</v>
      </c>
      <c r="J11" s="13"/>
      <c r="K11" s="13"/>
      <c r="L11" s="27"/>
      <c r="M11" s="27"/>
      <c r="N11" s="27"/>
      <c r="O11" s="27"/>
      <c r="P11" s="27"/>
      <c r="Q11" s="27"/>
      <c r="W11" t="s">
        <v>50</v>
      </c>
      <c r="Z11" s="16">
        <f>1-AA11</f>
        <v>-7.9801333270308916E-2</v>
      </c>
      <c r="AA11" s="32">
        <f>GETPIVOTDATA("Sum of TONASE",$Y$3,"SUBSIDIARY","KBK")/GETPIVOTDATA("Sum of TARGET TONASE",$Y$3,"SUBSIDIARY","KBK")</f>
        <v>1.0798013332703089</v>
      </c>
      <c r="AC11" s="10" t="s">
        <v>33</v>
      </c>
      <c r="AD11" s="24">
        <v>210.71860484410149</v>
      </c>
      <c r="AE11" s="16">
        <v>0.64541807299024956</v>
      </c>
      <c r="AR11" s="49" t="s">
        <v>0</v>
      </c>
      <c r="AS11" s="2">
        <v>299.42000000000007</v>
      </c>
      <c r="AT11" s="2">
        <v>581.1602741871684</v>
      </c>
      <c r="AW11" s="2">
        <f>AR35</f>
        <v>45108</v>
      </c>
      <c r="AX11" s="2">
        <f>AX10+AS35</f>
        <v>11750</v>
      </c>
      <c r="AY11" s="2">
        <f>AY10+AT35</f>
        <v>11793.760598020617</v>
      </c>
    </row>
    <row r="12" spans="1:349">
      <c r="F12" s="15" t="s">
        <v>70</v>
      </c>
      <c r="G12" s="18">
        <v>1257.9882828430293</v>
      </c>
      <c r="H12" s="13">
        <v>28108100026.801933</v>
      </c>
      <c r="I12" s="13">
        <v>1505244891.5288711</v>
      </c>
      <c r="J12" s="13"/>
      <c r="K12" s="1">
        <v>2024</v>
      </c>
      <c r="L12" s="27"/>
      <c r="M12" s="27"/>
      <c r="N12" s="27"/>
      <c r="O12" s="27"/>
      <c r="P12" s="27"/>
      <c r="Q12" s="27"/>
      <c r="V12" s="19"/>
      <c r="X12" s="19"/>
      <c r="Z12" s="16">
        <f t="shared" ref="Z12:Z14" si="11">1-AA12</f>
        <v>-0.53253356338485713</v>
      </c>
      <c r="AA12" s="32">
        <f>GETPIVOTDATA("Sum of TONASE",$Y$3,"SUBSIDIARY","KNI")/GETPIVOTDATA("Sum of TARGET TONASE",$Y$3,"SUBSIDIARY","KNI")</f>
        <v>1.5325335633848571</v>
      </c>
      <c r="AC12" s="10" t="s">
        <v>30</v>
      </c>
      <c r="AD12" s="24">
        <v>528.84602173570579</v>
      </c>
      <c r="AE12" s="16">
        <v>0.8971097593185744</v>
      </c>
      <c r="AR12" s="49" t="s">
        <v>2</v>
      </c>
      <c r="AS12" s="2">
        <v>543</v>
      </c>
      <c r="AT12" s="2">
        <v>718</v>
      </c>
      <c r="AW12" s="2">
        <f>AR40</f>
        <v>45139</v>
      </c>
      <c r="AX12" s="2">
        <f>AX11+AS40</f>
        <v>14250</v>
      </c>
      <c r="AY12" s="2">
        <f>AY11+AT40</f>
        <v>13330.481922010962</v>
      </c>
    </row>
    <row r="13" spans="1:349">
      <c r="F13" s="15" t="s">
        <v>71</v>
      </c>
      <c r="G13" s="18">
        <v>1246.6511607878681</v>
      </c>
      <c r="H13" s="13">
        <v>26539224724.842957</v>
      </c>
      <c r="I13" s="13">
        <v>1393071120.3300796</v>
      </c>
      <c r="J13" s="44" t="s">
        <v>61</v>
      </c>
      <c r="K13" s="1" t="str">
        <f>K6</f>
        <v>January</v>
      </c>
      <c r="L13" s="45">
        <f>G6/G5-1</f>
        <v>-0.91621197807580423</v>
      </c>
      <c r="M13" s="45">
        <f t="shared" ref="M13:N13" si="12">H6/H5-1</f>
        <v>-0.93890255518400889</v>
      </c>
      <c r="N13" s="45">
        <f t="shared" si="12"/>
        <v>-0.95930024236351175</v>
      </c>
      <c r="O13" s="27"/>
      <c r="P13" s="27"/>
      <c r="Q13" s="27"/>
      <c r="V13" s="19"/>
      <c r="X13" s="19"/>
      <c r="Z13" s="16">
        <f t="shared" si="11"/>
        <v>0.18070603573445998</v>
      </c>
      <c r="AA13" s="32">
        <f>GETPIVOTDATA("Sum of TONASE",$Y$3,"SUBSIDIARY","KPdP")/GETPIVOTDATA("Sum of TARGET TONASE",$Y$3,"SUBSIDIARY","KPdP")</f>
        <v>0.81929396426554002</v>
      </c>
      <c r="AC13" s="10" t="s">
        <v>31</v>
      </c>
      <c r="AD13" s="24">
        <v>3625.1648346259426</v>
      </c>
      <c r="AE13" s="16">
        <v>1.3120795606026538</v>
      </c>
      <c r="AR13" s="49" t="s">
        <v>3</v>
      </c>
      <c r="AS13" s="2">
        <v>157.58000000000001</v>
      </c>
      <c r="AT13" s="2">
        <v>85.714285714285708</v>
      </c>
      <c r="AW13" s="2">
        <f>AR45</f>
        <v>45170</v>
      </c>
      <c r="AX13" s="2">
        <f>AX12+AS45</f>
        <v>17000</v>
      </c>
      <c r="AY13" s="2">
        <f>AY12+AT45</f>
        <v>16822.80712374203</v>
      </c>
    </row>
    <row r="14" spans="1:349">
      <c r="F14" s="15" t="s">
        <v>72</v>
      </c>
      <c r="G14" s="18">
        <v>1345.1864107851211</v>
      </c>
      <c r="H14" s="13">
        <v>28571676109.804951</v>
      </c>
      <c r="I14" s="13">
        <v>1473772497.3833966</v>
      </c>
      <c r="J14" s="44" t="s">
        <v>61</v>
      </c>
      <c r="K14" s="1" t="str">
        <f>K7</f>
        <v>February</v>
      </c>
      <c r="L14" s="45">
        <f>G7/G6-1</f>
        <v>0.38434998928218156</v>
      </c>
      <c r="M14" s="45">
        <f t="shared" ref="M14" si="13">H7/H6-1</f>
        <v>0.65564225764667472</v>
      </c>
      <c r="N14" s="45">
        <f t="shared" ref="N14" si="14">I7/I6-1</f>
        <v>0.60629310422215976</v>
      </c>
      <c r="O14" s="27"/>
      <c r="P14" s="27"/>
      <c r="Q14" s="27"/>
      <c r="V14" s="19"/>
      <c r="X14" s="19"/>
      <c r="Z14" s="16">
        <f t="shared" si="11"/>
        <v>-0.64763763641901084</v>
      </c>
      <c r="AA14" s="32">
        <f>GETPIVOTDATA("Sum of TONASE",$Y$3,"SUBSIDIARY","KPI")/GETPIVOTDATA("Sum of TARGET TONASE",$Y$3,"SUBSIDIARY","KPI")</f>
        <v>1.6476376364190108</v>
      </c>
      <c r="AC14" s="10" t="s">
        <v>34</v>
      </c>
      <c r="AD14" s="24">
        <v>12510.103339594629</v>
      </c>
      <c r="AE14" s="16">
        <v>3.6160916945158044</v>
      </c>
      <c r="AR14" s="49" t="s">
        <v>1</v>
      </c>
      <c r="AS14" s="2">
        <v>500</v>
      </c>
      <c r="AT14" s="2">
        <v>89.4</v>
      </c>
      <c r="AW14" s="2">
        <f>AR50</f>
        <v>45200</v>
      </c>
      <c r="AX14" s="2">
        <f>AX13+AS50</f>
        <v>19750</v>
      </c>
      <c r="AY14" s="2">
        <f>AY13+AT50</f>
        <v>19492.446252051697</v>
      </c>
    </row>
    <row r="15" spans="1:349">
      <c r="B15">
        <v>1000</v>
      </c>
      <c r="F15" s="15" t="s">
        <v>69</v>
      </c>
      <c r="G15" s="18">
        <v>2204.2123406950232</v>
      </c>
      <c r="H15" s="13">
        <v>35521716758.896927</v>
      </c>
      <c r="I15" s="13">
        <v>2842455361.0998716</v>
      </c>
      <c r="J15" s="44" t="s">
        <v>61</v>
      </c>
      <c r="K15" s="1" t="str">
        <f>K8</f>
        <v>March</v>
      </c>
      <c r="L15" s="45">
        <f>G8/G7-1</f>
        <v>-0.57877302876631709</v>
      </c>
      <c r="M15" s="45">
        <f t="shared" ref="M15" si="15">H8/H7-1</f>
        <v>-0.5637825611083408</v>
      </c>
      <c r="N15" s="45">
        <f t="shared" ref="N15" si="16">I8/I7-1</f>
        <v>-0.38919959684084737</v>
      </c>
      <c r="O15" s="27"/>
      <c r="P15" s="27"/>
      <c r="Q15" s="27"/>
      <c r="V15" s="19"/>
      <c r="X15" s="19"/>
      <c r="AC15" s="10" t="s">
        <v>10</v>
      </c>
      <c r="AD15" s="24">
        <v>5922.8090770750923</v>
      </c>
      <c r="AE15" s="16">
        <v>1.9298980435401956</v>
      </c>
      <c r="AR15" s="47">
        <v>44986</v>
      </c>
      <c r="AS15" s="2">
        <v>1500</v>
      </c>
      <c r="AT15" s="2">
        <v>1650.2338759632762</v>
      </c>
      <c r="AW15" s="2">
        <f>AR55</f>
        <v>45231</v>
      </c>
      <c r="AX15" s="2">
        <f>AX14+AS55</f>
        <v>22500</v>
      </c>
      <c r="AY15" s="2">
        <f>AY14+AT55</f>
        <v>23136.788164083453</v>
      </c>
    </row>
    <row r="16" spans="1:349">
      <c r="F16" s="15" t="s">
        <v>73</v>
      </c>
      <c r="G16" s="18">
        <v>1122.0400484314721</v>
      </c>
      <c r="H16" s="13">
        <v>24851337462.345726</v>
      </c>
      <c r="I16" s="13">
        <v>1543925202.4984334</v>
      </c>
      <c r="J16" s="44" t="s">
        <v>61</v>
      </c>
      <c r="K16" s="1" t="str">
        <f>K9</f>
        <v>April</v>
      </c>
      <c r="L16" s="45">
        <f>G9/G8-1</f>
        <v>0.16171449197287613</v>
      </c>
      <c r="M16" s="45">
        <f t="shared" ref="M16" si="17">H9/H8-1</f>
        <v>0.34059761010371314</v>
      </c>
      <c r="N16" s="45">
        <f t="shared" ref="N16" si="18">I9/I8-1</f>
        <v>0.42209650099160467</v>
      </c>
      <c r="O16" s="27"/>
      <c r="P16" s="27"/>
      <c r="Q16" s="27"/>
      <c r="V16" s="19"/>
      <c r="AC16" s="10" t="s">
        <v>5</v>
      </c>
      <c r="AD16" s="24">
        <v>932.30788849719022</v>
      </c>
      <c r="AE16" s="16">
        <v>2.0255587222035927</v>
      </c>
      <c r="AR16" s="49" t="s">
        <v>0</v>
      </c>
      <c r="AS16" s="2">
        <v>320.42000000000007</v>
      </c>
      <c r="AT16" s="2">
        <v>514.78759024899057</v>
      </c>
      <c r="AW16" s="2">
        <f>AR60</f>
        <v>45261</v>
      </c>
      <c r="AX16" s="2">
        <f>AX15+AS60</f>
        <v>25250</v>
      </c>
      <c r="AY16" s="2">
        <f>AY15+AT60</f>
        <v>25629.98774379506</v>
      </c>
    </row>
    <row r="17" spans="1:46">
      <c r="B17" t="s">
        <v>51</v>
      </c>
      <c r="C17" t="s">
        <v>58</v>
      </c>
      <c r="D17" t="s">
        <v>62</v>
      </c>
      <c r="E17" t="s">
        <v>66</v>
      </c>
      <c r="F17" s="15" t="s">
        <v>74</v>
      </c>
      <c r="G17" s="18">
        <v>1811.2051302130094</v>
      </c>
      <c r="H17" s="13">
        <v>29113650155.461769</v>
      </c>
      <c r="I17" s="13">
        <v>2661263618.4357119</v>
      </c>
      <c r="J17" s="44" t="s">
        <v>61</v>
      </c>
      <c r="K17" s="1" t="str">
        <f>K10</f>
        <v>May</v>
      </c>
      <c r="L17" s="45">
        <f>G10/G9-1</f>
        <v>0.37217173342280452</v>
      </c>
      <c r="M17" s="45">
        <f t="shared" ref="M17" si="19">H10/H9-1</f>
        <v>0.23231468042933923</v>
      </c>
      <c r="N17" s="45">
        <f t="shared" ref="N17" si="20">I10/I9-1</f>
        <v>-0.1125108537744629</v>
      </c>
      <c r="V17" s="19"/>
      <c r="AC17" s="10" t="s">
        <v>29</v>
      </c>
      <c r="AD17" s="24">
        <v>2369.2871428571434</v>
      </c>
      <c r="AE17" s="16">
        <v>0.70000000000000007</v>
      </c>
      <c r="AR17" s="49" t="s">
        <v>2</v>
      </c>
      <c r="AS17" s="2">
        <v>522</v>
      </c>
      <c r="AT17" s="2">
        <v>799.346</v>
      </c>
    </row>
    <row r="18" spans="1:46">
      <c r="A18">
        <v>2023</v>
      </c>
      <c r="B18" s="52">
        <f>1659.31/B15</f>
        <v>1.6593099999999998</v>
      </c>
      <c r="C18" s="52">
        <f>1474.27455990145/B15</f>
        <v>1.47427455990145</v>
      </c>
      <c r="D18" s="52">
        <f>1650.23387596328/B15</f>
        <v>1.65023387596328</v>
      </c>
      <c r="E18" s="52">
        <f>751.363862093596/B15</f>
        <v>0.75136386209359607</v>
      </c>
      <c r="F18" s="52">
        <f>2242.74979566101/B15</f>
        <v>2.2427497956610098</v>
      </c>
      <c r="G18" s="52">
        <f>1670.14175256789/B15</f>
        <v>1.6701417525678901</v>
      </c>
      <c r="H18" s="52">
        <f>SUM(B18:G18)</f>
        <v>9.448073846187226</v>
      </c>
      <c r="J18" s="13"/>
      <c r="V18" s="19"/>
      <c r="AC18" s="10" t="s">
        <v>53</v>
      </c>
      <c r="AD18" s="24">
        <v>12862.173825173317</v>
      </c>
      <c r="AE18" s="16">
        <v>1.5107749730142468</v>
      </c>
      <c r="AR18" s="49" t="s">
        <v>3</v>
      </c>
      <c r="AS18" s="2">
        <v>157.58000000000001</v>
      </c>
      <c r="AT18" s="2">
        <v>85.714285714285708</v>
      </c>
    </row>
    <row r="19" spans="1:46">
      <c r="A19">
        <v>2024</v>
      </c>
      <c r="B19" s="52">
        <f>1430.01862110336/B15</f>
        <v>1.4300186211033599</v>
      </c>
      <c r="C19" s="52">
        <f>1979.64626279775/B15</f>
        <v>1.97964626279775</v>
      </c>
      <c r="D19" s="52">
        <f>833.880399392377/B15</f>
        <v>0.8338803993923769</v>
      </c>
      <c r="E19" s="52">
        <f>968.730944546254/B15</f>
        <v>0.96873094454625397</v>
      </c>
      <c r="F19" s="52">
        <f>1329.26521939834/B15</f>
        <v>1.3292652193983399</v>
      </c>
      <c r="G19" s="52">
        <f>1538.27603976088/B15</f>
        <v>1.5382760397608799</v>
      </c>
      <c r="H19" s="52">
        <f>SUM(B19:G19)</f>
        <v>8.0798174869989605</v>
      </c>
      <c r="I19">
        <f>H18/H19</f>
        <v>1.1693424834644959</v>
      </c>
      <c r="V19" s="19"/>
      <c r="AC19" s="10" t="s">
        <v>76</v>
      </c>
      <c r="AD19" s="24">
        <v>0</v>
      </c>
      <c r="AE19" s="16">
        <v>0</v>
      </c>
      <c r="AR19" s="49" t="s">
        <v>1</v>
      </c>
      <c r="AS19" s="2">
        <v>500</v>
      </c>
      <c r="AT19" s="2">
        <v>250.386</v>
      </c>
    </row>
    <row r="20" spans="1:46">
      <c r="V20" s="19"/>
      <c r="AC20" s="10" t="s">
        <v>26</v>
      </c>
      <c r="AD20" s="24">
        <v>11668.013000000001</v>
      </c>
      <c r="AE20" s="16">
        <v>0.62213407199076975</v>
      </c>
      <c r="AR20" s="47">
        <v>45017</v>
      </c>
      <c r="AS20" s="2">
        <v>1500</v>
      </c>
      <c r="AT20" s="2">
        <v>751.36386209359603</v>
      </c>
    </row>
    <row r="21" spans="1:46">
      <c r="B21">
        <v>1000000000</v>
      </c>
      <c r="V21" s="19"/>
      <c r="AR21" s="49" t="s">
        <v>0</v>
      </c>
      <c r="AS21" s="2">
        <v>445.42000000000007</v>
      </c>
      <c r="AT21" s="2">
        <v>145.54957637931034</v>
      </c>
    </row>
    <row r="22" spans="1:46">
      <c r="A22">
        <v>2023</v>
      </c>
      <c r="B22" s="2">
        <f>24869616845.0596/B21</f>
        <v>24.8696168450596</v>
      </c>
      <c r="C22" s="2">
        <f>26128954969/B21</f>
        <v>26.128954968999999</v>
      </c>
      <c r="D22" s="2">
        <f>35505598994.95/B21</f>
        <v>35.505598994949999</v>
      </c>
      <c r="E22" s="2">
        <f>15092372518/B21</f>
        <v>15.092372517999999</v>
      </c>
      <c r="F22" s="2">
        <f>25420539747.6704/B21</f>
        <v>25.4205397476704</v>
      </c>
      <c r="G22" s="2">
        <f>26100260041.67/B21</f>
        <v>26.100260041669998</v>
      </c>
      <c r="H22" s="2">
        <f>SUM(B22:G22)</f>
        <v>153.11734311635001</v>
      </c>
      <c r="K22">
        <v>15.5</v>
      </c>
      <c r="L22">
        <v>7</v>
      </c>
      <c r="N22">
        <v>1.5382760397608819</v>
      </c>
      <c r="O22">
        <v>32.559885094510001</v>
      </c>
      <c r="P22">
        <v>1.2452831997446172</v>
      </c>
      <c r="V22" s="19"/>
      <c r="AR22" s="49" t="s">
        <v>2</v>
      </c>
      <c r="AS22" s="2">
        <v>397</v>
      </c>
      <c r="AT22" s="2">
        <v>443</v>
      </c>
    </row>
    <row r="23" spans="1:46">
      <c r="A23">
        <v>2024</v>
      </c>
      <c r="B23" s="2">
        <f>18956763032.62/B21</f>
        <v>18.95676303262</v>
      </c>
      <c r="C23" s="2">
        <f>31385617945/B21</f>
        <v>31.385617945</v>
      </c>
      <c r="D23" s="2">
        <f>13690953878/B21</f>
        <v>13.690953878</v>
      </c>
      <c r="E23" s="2">
        <f>18354060048.887/B21</f>
        <v>18.354060048887</v>
      </c>
      <c r="F23" s="2">
        <f>22617977643.725/B21</f>
        <v>22.617977643724998</v>
      </c>
      <c r="G23" s="2">
        <f>32559885094.51/B21</f>
        <v>32.559885094510001</v>
      </c>
      <c r="H23" s="2">
        <f>SUM(B23:G23)</f>
        <v>137.56525764274201</v>
      </c>
      <c r="K23">
        <f>K22/L22</f>
        <v>2.2142857142857144</v>
      </c>
      <c r="N23">
        <v>1.2579882828430293</v>
      </c>
      <c r="O23">
        <v>28.108100026801932</v>
      </c>
      <c r="P23">
        <v>1.505244891528871</v>
      </c>
      <c r="V23" s="19"/>
      <c r="X23" s="28"/>
      <c r="AR23" s="49" t="s">
        <v>3</v>
      </c>
      <c r="AS23" s="2">
        <v>157.58000000000001</v>
      </c>
      <c r="AT23" s="2">
        <v>85.714285714285708</v>
      </c>
    </row>
    <row r="24" spans="1:46">
      <c r="N24" s="45">
        <f>N23/N22-1</f>
        <v>-0.18220901169430037</v>
      </c>
      <c r="O24" s="45">
        <f t="shared" ref="O24:P24" si="21">O23/O22-1</f>
        <v>-0.13672606812911314</v>
      </c>
      <c r="P24" s="45">
        <f t="shared" si="21"/>
        <v>0.2087570858079244</v>
      </c>
      <c r="V24" s="19"/>
      <c r="AR24" s="49" t="s">
        <v>1</v>
      </c>
      <c r="AS24" s="2">
        <v>500</v>
      </c>
      <c r="AT24" s="2">
        <v>77.099999999999994</v>
      </c>
    </row>
    <row r="25" spans="1:46">
      <c r="B25">
        <v>1000000000</v>
      </c>
      <c r="K25">
        <v>138</v>
      </c>
      <c r="L25" s="19">
        <f>K25/K26</f>
        <v>0.90196078431372551</v>
      </c>
      <c r="Y25" s="1"/>
      <c r="AR25" s="47">
        <v>45047</v>
      </c>
      <c r="AS25" s="2">
        <v>1750</v>
      </c>
      <c r="AT25" s="2">
        <v>2242.749795661015</v>
      </c>
    </row>
    <row r="26" spans="1:46">
      <c r="B26" s="53">
        <f>1419363220.94788/B25</f>
        <v>1.4193632209478799</v>
      </c>
      <c r="C26" s="53">
        <f>2098863561.90468/B25</f>
        <v>2.0988635619046798</v>
      </c>
      <c r="D26" s="53">
        <f>1747968936.07479/B25</f>
        <v>1.7479689360747901</v>
      </c>
      <c r="E26" s="53">
        <f>465499120.239804/B25</f>
        <v>0.46549912023980405</v>
      </c>
      <c r="F26" s="53">
        <f>1263721214.88147/B25</f>
        <v>1.26372121488147</v>
      </c>
      <c r="G26" s="53">
        <f>1265722000.96/B25</f>
        <v>1.2657220009600001</v>
      </c>
      <c r="H26" s="53">
        <f>SUM(B26:G26)</f>
        <v>8.2611380550086242</v>
      </c>
      <c r="K26">
        <v>153</v>
      </c>
      <c r="AR26" s="49" t="s">
        <v>0</v>
      </c>
      <c r="AS26" s="2">
        <v>635.92000000000007</v>
      </c>
      <c r="AT26" s="2">
        <v>1767.064829585998</v>
      </c>
    </row>
    <row r="27" spans="1:46">
      <c r="B27" s="53">
        <f>690220673.03332/B25</f>
        <v>0.69022067303331991</v>
      </c>
      <c r="C27" s="53">
        <f>1108696707.485/B25</f>
        <v>1.1086967074849998</v>
      </c>
      <c r="D27" s="53">
        <f>677192395.913063/B25</f>
        <v>0.67719239591306302</v>
      </c>
      <c r="E27" s="53">
        <f>963032936.726088/B25</f>
        <v>0.96303293672608803</v>
      </c>
      <c r="F27" s="53">
        <f>854681278.802108/B25</f>
        <v>0.85468127880210809</v>
      </c>
      <c r="G27" s="53">
        <f>1245283199.74462/B25</f>
        <v>1.2452831997446201</v>
      </c>
      <c r="H27" s="53">
        <f>SUM(B27:G27)</f>
        <v>5.5391071917041987</v>
      </c>
      <c r="AR27" s="49" t="s">
        <v>2</v>
      </c>
      <c r="AS27" s="2">
        <v>456.5</v>
      </c>
      <c r="AT27" s="2">
        <v>291.14246600311526</v>
      </c>
    </row>
    <row r="28" spans="1:46">
      <c r="AR28" s="49" t="s">
        <v>3</v>
      </c>
      <c r="AS28" s="2">
        <v>157.58000000000001</v>
      </c>
      <c r="AT28" s="2">
        <v>85.714285714285708</v>
      </c>
    </row>
    <row r="29" spans="1:46">
      <c r="AR29" s="49" t="s">
        <v>1</v>
      </c>
      <c r="AS29" s="2">
        <v>500</v>
      </c>
      <c r="AT29" s="2">
        <v>98.828214357615906</v>
      </c>
    </row>
    <row r="30" spans="1:46">
      <c r="AR30" s="47">
        <v>45078</v>
      </c>
      <c r="AS30" s="2">
        <v>2000</v>
      </c>
      <c r="AT30" s="2">
        <v>1670.1417525678892</v>
      </c>
    </row>
    <row r="31" spans="1:46">
      <c r="AR31" s="49" t="s">
        <v>0</v>
      </c>
      <c r="AS31" s="2">
        <v>878.92000000000007</v>
      </c>
      <c r="AT31" s="2">
        <v>430.8117525678889</v>
      </c>
    </row>
    <row r="32" spans="1:46">
      <c r="AR32" s="49" t="s">
        <v>2</v>
      </c>
      <c r="AS32" s="2">
        <v>463.5</v>
      </c>
      <c r="AT32" s="2">
        <v>660</v>
      </c>
    </row>
    <row r="33" spans="44:46">
      <c r="AR33" s="49" t="s">
        <v>3</v>
      </c>
      <c r="AS33" s="2">
        <v>157.58000000000001</v>
      </c>
      <c r="AT33" s="2">
        <v>291.38</v>
      </c>
    </row>
    <row r="34" spans="44:46">
      <c r="AR34" s="49" t="s">
        <v>1</v>
      </c>
      <c r="AS34" s="2">
        <v>500</v>
      </c>
      <c r="AT34" s="2">
        <v>287.95</v>
      </c>
    </row>
    <row r="35" spans="44:46">
      <c r="AR35" s="47">
        <v>45108</v>
      </c>
      <c r="AS35" s="2">
        <v>2000</v>
      </c>
      <c r="AT35" s="2">
        <v>2345.6867518333852</v>
      </c>
    </row>
    <row r="36" spans="44:46">
      <c r="AR36" s="49" t="s">
        <v>0</v>
      </c>
      <c r="AS36" s="2">
        <v>829.42000000000007</v>
      </c>
      <c r="AT36" s="2">
        <v>1255.0446406731035</v>
      </c>
    </row>
    <row r="37" spans="44:46">
      <c r="AR37" s="49" t="s">
        <v>2</v>
      </c>
      <c r="AS37" s="2">
        <v>513</v>
      </c>
      <c r="AT37" s="2">
        <v>625.86211116028176</v>
      </c>
    </row>
    <row r="38" spans="44:46">
      <c r="AR38" s="49" t="s">
        <v>3</v>
      </c>
      <c r="AS38" s="2">
        <v>157.58000000000001</v>
      </c>
      <c r="AT38" s="2">
        <v>57.58</v>
      </c>
    </row>
    <row r="39" spans="44:46">
      <c r="AR39" s="49" t="s">
        <v>1</v>
      </c>
      <c r="AS39" s="2">
        <v>500</v>
      </c>
      <c r="AT39" s="2">
        <v>407.2</v>
      </c>
    </row>
    <row r="40" spans="44:46">
      <c r="AR40" s="47">
        <v>45139</v>
      </c>
      <c r="AS40" s="2">
        <v>2500</v>
      </c>
      <c r="AT40" s="2">
        <v>1536.7213239903444</v>
      </c>
    </row>
    <row r="41" spans="44:46">
      <c r="AR41" s="49" t="s">
        <v>0</v>
      </c>
      <c r="AS41" s="2">
        <v>1320</v>
      </c>
      <c r="AT41" s="2">
        <v>773.6500425753552</v>
      </c>
    </row>
    <row r="42" spans="44:46">
      <c r="AR42" s="49" t="s">
        <v>2</v>
      </c>
      <c r="AS42" s="2">
        <v>522</v>
      </c>
      <c r="AT42" s="2">
        <v>449.19128141498942</v>
      </c>
    </row>
    <row r="43" spans="44:46">
      <c r="AR43" s="49" t="s">
        <v>3</v>
      </c>
      <c r="AS43" s="2">
        <v>158</v>
      </c>
      <c r="AT43" s="2">
        <v>57.58</v>
      </c>
    </row>
    <row r="44" spans="44:46">
      <c r="AR44" s="49" t="s">
        <v>1</v>
      </c>
      <c r="AS44" s="2">
        <v>500</v>
      </c>
      <c r="AT44" s="2">
        <v>256.3</v>
      </c>
    </row>
    <row r="45" spans="44:46">
      <c r="AR45" s="47">
        <v>45170</v>
      </c>
      <c r="AS45" s="2">
        <v>2750</v>
      </c>
      <c r="AT45" s="2">
        <v>3492.325201731067</v>
      </c>
    </row>
    <row r="46" spans="44:46">
      <c r="AR46" s="49" t="s">
        <v>0</v>
      </c>
      <c r="AS46" s="2">
        <v>1570</v>
      </c>
      <c r="AT46" s="2">
        <v>777.65596239452373</v>
      </c>
    </row>
    <row r="47" spans="44:46">
      <c r="AR47" s="49" t="s">
        <v>2</v>
      </c>
      <c r="AS47" s="2">
        <v>522</v>
      </c>
      <c r="AT47" s="2">
        <v>594.20966790797218</v>
      </c>
    </row>
    <row r="48" spans="44:46">
      <c r="AR48" s="49" t="s">
        <v>3</v>
      </c>
      <c r="AS48" s="2">
        <v>158</v>
      </c>
      <c r="AT48" s="2">
        <v>1579.5885714285712</v>
      </c>
    </row>
    <row r="49" spans="44:46">
      <c r="AR49" s="49" t="s">
        <v>1</v>
      </c>
      <c r="AS49" s="2">
        <v>500</v>
      </c>
      <c r="AT49" s="2">
        <v>540.87099999999998</v>
      </c>
    </row>
    <row r="50" spans="44:46">
      <c r="AR50" s="47">
        <v>45200</v>
      </c>
      <c r="AS50" s="2">
        <v>2750</v>
      </c>
      <c r="AT50" s="2">
        <v>2669.6391283096682</v>
      </c>
    </row>
    <row r="51" spans="44:46">
      <c r="AR51" s="49" t="s">
        <v>0</v>
      </c>
      <c r="AS51" s="2">
        <v>1570</v>
      </c>
      <c r="AT51" s="2">
        <v>1292.3261900000002</v>
      </c>
    </row>
    <row r="52" spans="44:46">
      <c r="AR52" s="49" t="s">
        <v>2</v>
      </c>
      <c r="AS52" s="2">
        <v>522</v>
      </c>
      <c r="AT52" s="2">
        <v>571.49093830966785</v>
      </c>
    </row>
    <row r="53" spans="44:46">
      <c r="AR53" s="49" t="s">
        <v>3</v>
      </c>
      <c r="AS53" s="2">
        <v>158</v>
      </c>
      <c r="AT53" s="2">
        <v>92.58</v>
      </c>
    </row>
    <row r="54" spans="44:46">
      <c r="AR54" s="49" t="s">
        <v>1</v>
      </c>
      <c r="AS54" s="2">
        <v>500</v>
      </c>
      <c r="AT54" s="2">
        <v>713.24199999999996</v>
      </c>
    </row>
    <row r="55" spans="44:46">
      <c r="AR55" s="47">
        <v>45231</v>
      </c>
      <c r="AS55" s="2">
        <v>2750</v>
      </c>
      <c r="AT55" s="2">
        <v>3644.3419120317576</v>
      </c>
    </row>
    <row r="56" spans="44:46">
      <c r="AR56" s="49" t="s">
        <v>0</v>
      </c>
      <c r="AS56" s="2">
        <v>1600.42</v>
      </c>
      <c r="AT56" s="2">
        <v>1204.4193241522689</v>
      </c>
    </row>
    <row r="57" spans="44:46">
      <c r="AR57" s="49" t="s">
        <v>2</v>
      </c>
      <c r="AS57" s="2">
        <v>492</v>
      </c>
      <c r="AT57" s="2">
        <v>647.30858787948887</v>
      </c>
    </row>
    <row r="58" spans="44:46">
      <c r="AR58" s="49" t="s">
        <v>3</v>
      </c>
      <c r="AS58" s="2">
        <v>157.58000000000001</v>
      </c>
      <c r="AT58" s="2">
        <v>92.58</v>
      </c>
    </row>
    <row r="59" spans="44:46">
      <c r="AR59" s="49" t="s">
        <v>1</v>
      </c>
      <c r="AS59" s="2">
        <v>500</v>
      </c>
      <c r="AT59" s="2">
        <v>1700.0340000000001</v>
      </c>
    </row>
    <row r="60" spans="44:46">
      <c r="AR60" s="47">
        <v>45261</v>
      </c>
      <c r="AS60" s="2">
        <v>2750</v>
      </c>
      <c r="AT60" s="2">
        <v>2493.1995797116069</v>
      </c>
    </row>
    <row r="61" spans="44:46">
      <c r="AR61" s="49" t="s">
        <v>0</v>
      </c>
      <c r="AS61" s="2">
        <v>1666.42</v>
      </c>
      <c r="AT61" s="2">
        <v>867.33858541379311</v>
      </c>
    </row>
    <row r="62" spans="44:46">
      <c r="AR62" s="49" t="s">
        <v>2</v>
      </c>
      <c r="AS62" s="2">
        <v>426</v>
      </c>
      <c r="AT62" s="2">
        <v>497.72899429781336</v>
      </c>
    </row>
    <row r="63" spans="44:46">
      <c r="AR63" s="49" t="s">
        <v>3</v>
      </c>
      <c r="AS63" s="2">
        <v>157.58000000000001</v>
      </c>
      <c r="AT63" s="2">
        <v>965.94000000000062</v>
      </c>
    </row>
    <row r="64" spans="44:46">
      <c r="AR64" s="49" t="s">
        <v>1</v>
      </c>
      <c r="AS64" s="2">
        <v>500</v>
      </c>
      <c r="AT64" s="2">
        <v>162.19200000000001</v>
      </c>
    </row>
    <row r="65" spans="44:46">
      <c r="AR65" s="47">
        <v>45292</v>
      </c>
      <c r="AS65" s="2">
        <v>1430</v>
      </c>
      <c r="AT65" s="2">
        <v>1430.0186211033576</v>
      </c>
    </row>
    <row r="66" spans="44:46">
      <c r="AR66" s="49" t="s">
        <v>0</v>
      </c>
      <c r="AS66" s="2">
        <v>605</v>
      </c>
      <c r="AT66" s="2">
        <v>877.79881488612898</v>
      </c>
    </row>
    <row r="67" spans="44:46">
      <c r="AR67" s="49" t="s">
        <v>2</v>
      </c>
      <c r="AS67" s="2">
        <v>450</v>
      </c>
      <c r="AT67" s="2">
        <v>410.50080621722856</v>
      </c>
    </row>
    <row r="68" spans="44:46">
      <c r="AR68" s="49" t="s">
        <v>3</v>
      </c>
      <c r="AS68" s="2">
        <v>225</v>
      </c>
      <c r="AT68" s="2">
        <v>0</v>
      </c>
    </row>
    <row r="69" spans="44:46">
      <c r="AR69" s="49" t="s">
        <v>1</v>
      </c>
      <c r="AS69" s="2">
        <v>150</v>
      </c>
      <c r="AT69" s="2">
        <v>141.71899999999999</v>
      </c>
    </row>
    <row r="70" spans="44:46">
      <c r="AR70" s="47">
        <v>45323</v>
      </c>
      <c r="AS70" s="2">
        <v>1530</v>
      </c>
      <c r="AT70" s="2">
        <v>1979.6462627977528</v>
      </c>
    </row>
    <row r="71" spans="44:46">
      <c r="AR71" s="49" t="s">
        <v>0</v>
      </c>
      <c r="AS71" s="2">
        <v>605</v>
      </c>
      <c r="AT71" s="2">
        <v>1387.0822009999999</v>
      </c>
    </row>
    <row r="72" spans="44:46">
      <c r="AR72" s="49" t="s">
        <v>2</v>
      </c>
      <c r="AS72" s="2">
        <v>450</v>
      </c>
      <c r="AT72" s="2">
        <v>338.18006179775278</v>
      </c>
    </row>
    <row r="73" spans="44:46">
      <c r="AR73" s="49" t="s">
        <v>3</v>
      </c>
      <c r="AS73" s="2">
        <v>225</v>
      </c>
      <c r="AT73" s="2">
        <v>169.3</v>
      </c>
    </row>
    <row r="74" spans="44:46">
      <c r="AR74" s="49" t="s">
        <v>1</v>
      </c>
      <c r="AS74" s="2">
        <v>250</v>
      </c>
      <c r="AT74" s="2">
        <v>85.084000000000003</v>
      </c>
    </row>
    <row r="75" spans="44:46">
      <c r="AR75" s="47">
        <v>45352</v>
      </c>
      <c r="AS75" s="2">
        <v>1980</v>
      </c>
      <c r="AT75" s="2">
        <v>833.88039939237706</v>
      </c>
    </row>
    <row r="76" spans="44:46">
      <c r="AR76" s="49" t="s">
        <v>0</v>
      </c>
      <c r="AS76" s="2">
        <v>705</v>
      </c>
      <c r="AT76" s="2">
        <v>430.15668129032252</v>
      </c>
    </row>
    <row r="77" spans="44:46">
      <c r="AR77" s="49" t="s">
        <v>2</v>
      </c>
      <c r="AS77" s="2">
        <v>450</v>
      </c>
      <c r="AT77" s="2">
        <v>224.62471810205454</v>
      </c>
    </row>
    <row r="78" spans="44:46">
      <c r="AR78" s="49" t="s">
        <v>3</v>
      </c>
      <c r="AS78" s="2">
        <v>250</v>
      </c>
      <c r="AT78" s="2"/>
    </row>
    <row r="79" spans="44:46">
      <c r="AR79" s="49" t="s">
        <v>1</v>
      </c>
      <c r="AS79" s="2">
        <v>575</v>
      </c>
      <c r="AT79" s="2">
        <v>179.09899999999999</v>
      </c>
    </row>
    <row r="80" spans="44:46">
      <c r="AR80" s="47">
        <v>45383</v>
      </c>
      <c r="AS80" s="2">
        <v>1675</v>
      </c>
      <c r="AT80" s="2">
        <v>968.73094454625425</v>
      </c>
    </row>
    <row r="81" spans="44:46">
      <c r="AR81" s="49" t="s">
        <v>0</v>
      </c>
      <c r="AS81" s="2">
        <v>800</v>
      </c>
      <c r="AT81" s="2">
        <v>651.31420749539291</v>
      </c>
    </row>
    <row r="82" spans="44:46">
      <c r="AR82" s="49" t="s">
        <v>2</v>
      </c>
      <c r="AS82" s="2">
        <v>150</v>
      </c>
      <c r="AT82" s="2">
        <v>317.41673705086134</v>
      </c>
    </row>
    <row r="83" spans="44:46">
      <c r="AR83" s="49" t="s">
        <v>3</v>
      </c>
      <c r="AS83" s="2">
        <v>175</v>
      </c>
      <c r="AT83" s="2">
        <v>0</v>
      </c>
    </row>
    <row r="84" spans="44:46">
      <c r="AR84" s="49" t="s">
        <v>1</v>
      </c>
      <c r="AS84" s="2">
        <v>550</v>
      </c>
      <c r="AT84" s="2">
        <v>0</v>
      </c>
    </row>
    <row r="85" spans="44:46">
      <c r="AR85" s="47">
        <v>45413</v>
      </c>
      <c r="AS85" s="2">
        <v>2200</v>
      </c>
      <c r="AT85" s="2">
        <v>1329.2652193983447</v>
      </c>
    </row>
    <row r="86" spans="44:46">
      <c r="AR86" s="49" t="s">
        <v>0</v>
      </c>
      <c r="AS86" s="2">
        <v>800</v>
      </c>
      <c r="AT86" s="2">
        <v>577.33724210526316</v>
      </c>
    </row>
    <row r="87" spans="44:46">
      <c r="AR87" s="49" t="s">
        <v>2</v>
      </c>
      <c r="AS87" s="2">
        <v>450</v>
      </c>
      <c r="AT87" s="2">
        <v>288.22797729308144</v>
      </c>
    </row>
    <row r="88" spans="44:46">
      <c r="AR88" s="49" t="s">
        <v>3</v>
      </c>
      <c r="AS88" s="2">
        <v>200</v>
      </c>
      <c r="AT88" s="2">
        <v>0</v>
      </c>
    </row>
    <row r="89" spans="44:46">
      <c r="AR89" s="49" t="s">
        <v>1</v>
      </c>
      <c r="AS89" s="2">
        <v>750</v>
      </c>
      <c r="AT89" s="2">
        <v>463.7</v>
      </c>
    </row>
    <row r="90" spans="44:46">
      <c r="AR90" s="47">
        <v>45444</v>
      </c>
      <c r="AS90" s="2">
        <v>2525</v>
      </c>
      <c r="AT90" s="2">
        <v>1538.2760397608824</v>
      </c>
    </row>
    <row r="91" spans="44:46">
      <c r="AR91" s="49" t="s">
        <v>0</v>
      </c>
      <c r="AS91" s="2">
        <v>900</v>
      </c>
      <c r="AT91" s="2">
        <v>681.25294019340663</v>
      </c>
    </row>
    <row r="92" spans="44:46">
      <c r="AR92" s="49" t="s">
        <v>2</v>
      </c>
      <c r="AS92" s="2">
        <v>550</v>
      </c>
      <c r="AT92" s="2">
        <v>239.98809956747564</v>
      </c>
    </row>
    <row r="93" spans="44:46">
      <c r="AR93" s="49" t="s">
        <v>3</v>
      </c>
      <c r="AS93" s="2">
        <v>300</v>
      </c>
      <c r="AT93" s="2">
        <v>355</v>
      </c>
    </row>
    <row r="94" spans="44:46">
      <c r="AR94" s="49" t="s">
        <v>1</v>
      </c>
      <c r="AS94" s="2">
        <v>775</v>
      </c>
      <c r="AT94" s="2">
        <v>262.03500000000003</v>
      </c>
    </row>
    <row r="95" spans="44:46">
      <c r="AR95" s="47">
        <v>45474</v>
      </c>
      <c r="AS95" s="2">
        <v>2525</v>
      </c>
      <c r="AT95" s="2">
        <v>1257.9882828430295</v>
      </c>
    </row>
    <row r="96" spans="44:46">
      <c r="AR96" s="49" t="s">
        <v>0</v>
      </c>
      <c r="AS96" s="2">
        <v>900</v>
      </c>
      <c r="AT96" s="2">
        <v>710.87434434302929</v>
      </c>
    </row>
    <row r="97" spans="44:46">
      <c r="AR97" s="49" t="s">
        <v>2</v>
      </c>
      <c r="AS97" s="2">
        <v>550</v>
      </c>
      <c r="AT97" s="2">
        <v>344.46393850000004</v>
      </c>
    </row>
    <row r="98" spans="44:46">
      <c r="AR98" s="49" t="s">
        <v>3</v>
      </c>
      <c r="AS98" s="2">
        <v>300</v>
      </c>
      <c r="AT98" s="2">
        <v>0</v>
      </c>
    </row>
    <row r="99" spans="44:46">
      <c r="AR99" s="49" t="s">
        <v>1</v>
      </c>
      <c r="AS99" s="2">
        <v>775</v>
      </c>
      <c r="AT99" s="2">
        <v>202.65</v>
      </c>
    </row>
    <row r="100" spans="44:46">
      <c r="AR100" s="47">
        <v>45505</v>
      </c>
      <c r="AS100" s="2">
        <v>2600</v>
      </c>
      <c r="AT100" s="2">
        <v>1246.6511607878683</v>
      </c>
    </row>
    <row r="101" spans="44:46">
      <c r="AR101" s="49" t="s">
        <v>0</v>
      </c>
      <c r="AS101" s="2">
        <v>1000</v>
      </c>
      <c r="AT101" s="2">
        <v>661.47341695428872</v>
      </c>
    </row>
    <row r="102" spans="44:46">
      <c r="AR102" s="49" t="s">
        <v>2</v>
      </c>
      <c r="AS102" s="2">
        <v>550</v>
      </c>
      <c r="AT102" s="2">
        <v>327.17774383357948</v>
      </c>
    </row>
    <row r="103" spans="44:46">
      <c r="AR103" s="49" t="s">
        <v>3</v>
      </c>
      <c r="AS103" s="2">
        <v>300</v>
      </c>
      <c r="AT103" s="2">
        <v>0</v>
      </c>
    </row>
    <row r="104" spans="44:46">
      <c r="AR104" s="49" t="s">
        <v>1</v>
      </c>
      <c r="AS104" s="2">
        <v>750</v>
      </c>
      <c r="AT104" s="2">
        <v>258</v>
      </c>
    </row>
    <row r="105" spans="44:46">
      <c r="AR105" s="47">
        <v>45536</v>
      </c>
      <c r="AS105" s="2">
        <v>2760</v>
      </c>
      <c r="AT105" s="2">
        <v>1345.1864107851211</v>
      </c>
    </row>
    <row r="106" spans="44:46">
      <c r="AR106" s="49" t="s">
        <v>0</v>
      </c>
      <c r="AS106" s="2">
        <v>1235</v>
      </c>
      <c r="AT106" s="2">
        <v>295.17039457445651</v>
      </c>
    </row>
    <row r="107" spans="44:46">
      <c r="AR107" s="49" t="s">
        <v>2</v>
      </c>
      <c r="AS107" s="2">
        <v>550</v>
      </c>
      <c r="AT107" s="2">
        <v>378.46601621066452</v>
      </c>
    </row>
    <row r="108" spans="44:46">
      <c r="AR108" s="49" t="s">
        <v>3</v>
      </c>
      <c r="AS108" s="2">
        <v>300</v>
      </c>
      <c r="AT108" s="2">
        <v>0</v>
      </c>
    </row>
    <row r="109" spans="44:46">
      <c r="AR109" s="49" t="s">
        <v>1</v>
      </c>
      <c r="AS109" s="2">
        <v>675</v>
      </c>
      <c r="AT109" s="2">
        <v>671.55</v>
      </c>
    </row>
    <row r="110" spans="44:46">
      <c r="AR110" s="47">
        <v>45566</v>
      </c>
      <c r="AS110" s="2">
        <v>2800</v>
      </c>
      <c r="AT110" s="2">
        <v>2204.2123406950227</v>
      </c>
    </row>
    <row r="111" spans="44:46">
      <c r="AR111" s="49" t="s">
        <v>0</v>
      </c>
      <c r="AS111" s="2">
        <v>1300</v>
      </c>
      <c r="AT111" s="2">
        <v>1673.9667881281102</v>
      </c>
    </row>
    <row r="112" spans="44:46">
      <c r="AR112" s="49" t="s">
        <v>2</v>
      </c>
      <c r="AS112" s="2">
        <v>550</v>
      </c>
      <c r="AT112" s="2">
        <v>437.0455525669127</v>
      </c>
    </row>
    <row r="113" spans="44:46">
      <c r="AR113" s="49" t="s">
        <v>3</v>
      </c>
      <c r="AS113" s="2">
        <v>300</v>
      </c>
      <c r="AT113" s="2">
        <v>0</v>
      </c>
    </row>
    <row r="114" spans="44:46">
      <c r="AR114" s="49" t="s">
        <v>1</v>
      </c>
      <c r="AS114" s="2">
        <v>650</v>
      </c>
      <c r="AT114" s="2">
        <v>93.2</v>
      </c>
    </row>
    <row r="115" spans="44:46">
      <c r="AR115" s="47">
        <v>45597</v>
      </c>
      <c r="AS115" s="2">
        <v>2875</v>
      </c>
      <c r="AT115" s="2">
        <v>1122.0400484314721</v>
      </c>
    </row>
    <row r="116" spans="44:46">
      <c r="AR116" s="49" t="s">
        <v>0</v>
      </c>
      <c r="AS116" s="2">
        <v>1475</v>
      </c>
      <c r="AT116" s="2">
        <v>656.27242117142282</v>
      </c>
    </row>
    <row r="117" spans="44:46">
      <c r="AR117" s="49" t="s">
        <v>2</v>
      </c>
      <c r="AS117" s="2">
        <v>550</v>
      </c>
      <c r="AT117" s="2">
        <v>365.76762726004921</v>
      </c>
    </row>
    <row r="118" spans="44:46">
      <c r="AR118" s="49" t="s">
        <v>3</v>
      </c>
      <c r="AS118" s="2">
        <v>300</v>
      </c>
      <c r="AT118" s="2">
        <v>0</v>
      </c>
    </row>
    <row r="119" spans="44:46">
      <c r="AR119" s="49" t="s">
        <v>1</v>
      </c>
      <c r="AS119" s="2">
        <v>550</v>
      </c>
      <c r="AT119" s="2">
        <v>100</v>
      </c>
    </row>
    <row r="120" spans="44:46">
      <c r="AR120" s="47">
        <v>45627</v>
      </c>
      <c r="AS120" s="2">
        <v>2525</v>
      </c>
      <c r="AT120" s="2">
        <v>1811.2051302130094</v>
      </c>
    </row>
    <row r="121" spans="44:46">
      <c r="AR121" s="49" t="s">
        <v>0</v>
      </c>
      <c r="AS121" s="2">
        <v>1575</v>
      </c>
      <c r="AT121" s="2">
        <v>1240.6037428422137</v>
      </c>
    </row>
    <row r="122" spans="44:46">
      <c r="AR122" s="49" t="s">
        <v>2</v>
      </c>
      <c r="AS122" s="2">
        <v>150</v>
      </c>
      <c r="AT122" s="2">
        <v>376.60138737079581</v>
      </c>
    </row>
    <row r="123" spans="44:46">
      <c r="AR123" s="49" t="s">
        <v>3</v>
      </c>
      <c r="AS123" s="2">
        <v>225</v>
      </c>
      <c r="AT123" s="2">
        <v>0</v>
      </c>
    </row>
    <row r="124" spans="44:46">
      <c r="AR124" s="49" t="s">
        <v>1</v>
      </c>
      <c r="AS124" s="2">
        <v>575</v>
      </c>
      <c r="AT124" s="2">
        <v>194</v>
      </c>
    </row>
    <row r="125" spans="44:46">
      <c r="AR125" s="47">
        <v>45658</v>
      </c>
      <c r="AS125" s="2"/>
      <c r="AT125" s="2">
        <v>551.86478878878836</v>
      </c>
    </row>
    <row r="126" spans="44:46">
      <c r="AR126" s="49" t="s">
        <v>0</v>
      </c>
      <c r="AS126" s="2"/>
      <c r="AT126" s="2">
        <v>143.32434000000001</v>
      </c>
    </row>
    <row r="127" spans="44:46">
      <c r="AR127" s="49" t="s">
        <v>2</v>
      </c>
      <c r="AS127" s="2"/>
      <c r="AT127" s="2">
        <v>344.54044878878835</v>
      </c>
    </row>
    <row r="128" spans="44:46">
      <c r="AR128" s="49" t="s">
        <v>3</v>
      </c>
      <c r="AS128" s="2"/>
      <c r="AT128" s="2">
        <v>0</v>
      </c>
    </row>
    <row r="129" spans="44:46">
      <c r="AR129" s="49" t="s">
        <v>1</v>
      </c>
      <c r="AS129" s="2"/>
      <c r="AT129" s="2">
        <v>64</v>
      </c>
    </row>
    <row r="130" spans="44:46">
      <c r="AR130" s="47">
        <v>45689</v>
      </c>
      <c r="AS130" s="2"/>
      <c r="AT130" s="2">
        <v>2423.051897051957</v>
      </c>
    </row>
    <row r="131" spans="44:46">
      <c r="AR131" s="49" t="s">
        <v>0</v>
      </c>
      <c r="AS131" s="2"/>
      <c r="AT131" s="2">
        <v>782.00073461184218</v>
      </c>
    </row>
    <row r="132" spans="44:46">
      <c r="AR132" s="49" t="s">
        <v>2</v>
      </c>
      <c r="AS132" s="2"/>
      <c r="AT132" s="2">
        <v>348.05116244011487</v>
      </c>
    </row>
    <row r="133" spans="44:46">
      <c r="AR133" s="49" t="s">
        <v>3</v>
      </c>
      <c r="AS133" s="2"/>
      <c r="AT133" s="2">
        <v>0</v>
      </c>
    </row>
    <row r="134" spans="44:46">
      <c r="AR134" s="49" t="s">
        <v>1</v>
      </c>
      <c r="AS134" s="2"/>
      <c r="AT134" s="2">
        <v>1293</v>
      </c>
    </row>
    <row r="135" spans="44:46">
      <c r="AR135" s="47">
        <v>45717</v>
      </c>
      <c r="AS135" s="2"/>
      <c r="AT135" s="2">
        <v>1414.3837203044573</v>
      </c>
    </row>
    <row r="136" spans="44:46">
      <c r="AR136" s="49" t="s">
        <v>0</v>
      </c>
      <c r="AS136" s="2"/>
      <c r="AT136" s="2">
        <v>681.34312604440788</v>
      </c>
    </row>
    <row r="137" spans="44:46">
      <c r="AR137" s="49" t="s">
        <v>2</v>
      </c>
      <c r="AS137" s="2"/>
      <c r="AT137" s="2">
        <v>367.04059426004926</v>
      </c>
    </row>
    <row r="138" spans="44:46">
      <c r="AR138" s="49" t="s">
        <v>3</v>
      </c>
      <c r="AS138" s="2"/>
      <c r="AT138" s="2">
        <v>0</v>
      </c>
    </row>
    <row r="139" spans="44:46">
      <c r="AR139" s="49" t="s">
        <v>1</v>
      </c>
      <c r="AS139" s="2"/>
      <c r="AT139" s="2">
        <v>366</v>
      </c>
    </row>
    <row r="140" spans="44:46">
      <c r="AR140" s="47">
        <v>45748</v>
      </c>
      <c r="AS140" s="2"/>
      <c r="AT140" s="2">
        <v>476.06404671874998</v>
      </c>
    </row>
    <row r="141" spans="44:46">
      <c r="AR141" s="49" t="s">
        <v>0</v>
      </c>
      <c r="AS141" s="2"/>
      <c r="AT141" s="2">
        <v>208.78669621875</v>
      </c>
    </row>
    <row r="142" spans="44:46">
      <c r="AR142" s="49" t="s">
        <v>2</v>
      </c>
      <c r="AS142" s="2"/>
      <c r="AT142" s="2">
        <v>186.94335049999998</v>
      </c>
    </row>
    <row r="143" spans="44:46">
      <c r="AR143" s="49" t="s">
        <v>3</v>
      </c>
      <c r="AS143" s="2"/>
      <c r="AT143" s="2">
        <v>0</v>
      </c>
    </row>
    <row r="144" spans="44:46">
      <c r="AR144" s="49" t="s">
        <v>1</v>
      </c>
      <c r="AS144" s="2"/>
      <c r="AT144" s="2">
        <v>80.334000000000003</v>
      </c>
    </row>
    <row r="145" spans="44:46">
      <c r="AR145" s="47">
        <v>45778</v>
      </c>
      <c r="AS145" s="2"/>
      <c r="AT145" s="2">
        <v>2488.6600009250001</v>
      </c>
    </row>
    <row r="146" spans="44:46">
      <c r="AR146" s="49" t="s">
        <v>0</v>
      </c>
      <c r="AS146" s="2"/>
      <c r="AT146" s="2">
        <v>592.86189842499994</v>
      </c>
    </row>
    <row r="147" spans="44:46">
      <c r="AR147" s="49" t="s">
        <v>2</v>
      </c>
      <c r="AS147" s="2"/>
      <c r="AT147" s="2">
        <v>256.89910250000003</v>
      </c>
    </row>
    <row r="148" spans="44:46">
      <c r="AR148" s="49" t="s">
        <v>3</v>
      </c>
      <c r="AS148" s="2"/>
      <c r="AT148" s="2">
        <v>0</v>
      </c>
    </row>
    <row r="149" spans="44:46">
      <c r="AR149" s="49" t="s">
        <v>1</v>
      </c>
      <c r="AS149" s="2"/>
      <c r="AT149" s="2">
        <v>1638.8990000000001</v>
      </c>
    </row>
    <row r="150" spans="44:46">
      <c r="AR150" s="47">
        <v>45809</v>
      </c>
      <c r="AS150" s="2"/>
      <c r="AT150" s="2">
        <v>1037.1636126552296</v>
      </c>
    </row>
    <row r="151" spans="44:46">
      <c r="AR151" s="49" t="s">
        <v>0</v>
      </c>
      <c r="AS151" s="2"/>
      <c r="AT151" s="2">
        <v>-74.014672725000025</v>
      </c>
    </row>
    <row r="152" spans="44:46">
      <c r="AR152" s="49" t="s">
        <v>2</v>
      </c>
      <c r="AS152" s="2"/>
      <c r="AT152" s="2">
        <v>246.90428538022971</v>
      </c>
    </row>
    <row r="153" spans="44:46">
      <c r="AR153" s="49" t="s">
        <v>3</v>
      </c>
      <c r="AS153" s="2"/>
      <c r="AT153" s="2">
        <v>0</v>
      </c>
    </row>
    <row r="154" spans="44:46">
      <c r="AR154" s="49" t="s">
        <v>1</v>
      </c>
      <c r="AS154" s="2"/>
      <c r="AT154" s="2">
        <v>864.274</v>
      </c>
    </row>
    <row r="155" spans="44:46">
      <c r="AR155" s="47">
        <v>45839</v>
      </c>
      <c r="AS155" s="2"/>
      <c r="AT155" s="2">
        <v>1141.9421706323974</v>
      </c>
    </row>
    <row r="156" spans="44:46">
      <c r="AR156" s="49" t="s">
        <v>0</v>
      </c>
      <c r="AS156" s="2"/>
      <c r="AT156" s="2">
        <v>406.85826914285701</v>
      </c>
    </row>
    <row r="157" spans="44:46">
      <c r="AR157" s="49" t="s">
        <v>2</v>
      </c>
      <c r="AS157" s="2"/>
      <c r="AT157" s="2">
        <v>435.08390148954049</v>
      </c>
    </row>
    <row r="158" spans="44:46">
      <c r="AR158" s="49" t="s">
        <v>3</v>
      </c>
      <c r="AS158" s="2"/>
      <c r="AT158" s="2">
        <v>0</v>
      </c>
    </row>
    <row r="159" spans="44:46">
      <c r="AR159" s="49" t="s">
        <v>1</v>
      </c>
      <c r="AS159" s="2"/>
      <c r="AT159" s="2">
        <v>300</v>
      </c>
    </row>
    <row r="160" spans="44:46">
      <c r="AR160" s="47">
        <v>45870</v>
      </c>
      <c r="AS160" s="2"/>
      <c r="AT160" s="2">
        <v>2246.0611533939959</v>
      </c>
    </row>
    <row r="161" spans="44:46">
      <c r="AR161" s="49" t="s">
        <v>0</v>
      </c>
      <c r="AS161" s="2"/>
      <c r="AT161" s="2">
        <v>245.88915509374999</v>
      </c>
    </row>
    <row r="162" spans="44:46">
      <c r="AR162" s="49" t="s">
        <v>2</v>
      </c>
      <c r="AS162" s="2"/>
      <c r="AT162" s="2">
        <v>659.63899830024616</v>
      </c>
    </row>
    <row r="163" spans="44:46">
      <c r="AR163" s="49" t="s">
        <v>3</v>
      </c>
      <c r="AS163" s="2"/>
      <c r="AT163" s="2">
        <v>0</v>
      </c>
    </row>
    <row r="164" spans="44:46">
      <c r="AR164" s="49" t="s">
        <v>1</v>
      </c>
      <c r="AS164" s="2"/>
      <c r="AT164" s="2">
        <v>1340.5329999999999</v>
      </c>
    </row>
    <row r="165" spans="44:46">
      <c r="AR165" s="47">
        <v>45901</v>
      </c>
      <c r="AS165" s="2"/>
      <c r="AT165" s="2">
        <v>1267.8544445</v>
      </c>
    </row>
    <row r="166" spans="44:46">
      <c r="AR166" s="49" t="s">
        <v>0</v>
      </c>
      <c r="AS166" s="2"/>
      <c r="AT166" s="2">
        <v>531.90940000000001</v>
      </c>
    </row>
    <row r="167" spans="44:46">
      <c r="AR167" s="49" t="s">
        <v>2</v>
      </c>
      <c r="AS167" s="2"/>
      <c r="AT167" s="2">
        <v>637.20504449999999</v>
      </c>
    </row>
    <row r="168" spans="44:46">
      <c r="AR168" s="49" t="s">
        <v>3</v>
      </c>
      <c r="AS168" s="2"/>
      <c r="AT168" s="2">
        <v>0</v>
      </c>
    </row>
    <row r="169" spans="44:46">
      <c r="AR169" s="49" t="s">
        <v>1</v>
      </c>
      <c r="AS169" s="2"/>
      <c r="AT169" s="2">
        <v>98.74</v>
      </c>
    </row>
    <row r="170" spans="44:46">
      <c r="AR170" s="47">
        <v>45931</v>
      </c>
      <c r="AS170" s="2"/>
      <c r="AT170" s="2">
        <v>4514.8280021785713</v>
      </c>
    </row>
    <row r="171" spans="44:46">
      <c r="AR171" s="49" t="s">
        <v>0</v>
      </c>
      <c r="AS171" s="2"/>
      <c r="AT171" s="2">
        <v>907.00824692857145</v>
      </c>
    </row>
    <row r="172" spans="44:46">
      <c r="AR172" s="49" t="s">
        <v>2</v>
      </c>
      <c r="AS172" s="2"/>
      <c r="AT172" s="2">
        <v>1083.0407552500001</v>
      </c>
    </row>
    <row r="173" spans="44:46">
      <c r="AR173" s="49" t="s">
        <v>3</v>
      </c>
      <c r="AS173" s="2"/>
      <c r="AT173" s="2">
        <v>0</v>
      </c>
    </row>
    <row r="174" spans="44:46">
      <c r="AR174" s="49" t="s">
        <v>1</v>
      </c>
      <c r="AS174" s="2"/>
      <c r="AT174" s="2">
        <v>2524.779</v>
      </c>
    </row>
    <row r="175" spans="44:46">
      <c r="AR175" s="47">
        <v>45962</v>
      </c>
      <c r="AS175" s="2"/>
      <c r="AT175" s="2">
        <v>3348.7244014906073</v>
      </c>
    </row>
    <row r="176" spans="44:46">
      <c r="AR176" s="49" t="s">
        <v>0</v>
      </c>
      <c r="AS176" s="2"/>
      <c r="AT176" s="2">
        <v>750.88160000000005</v>
      </c>
    </row>
    <row r="177" spans="44:46">
      <c r="AR177" s="49" t="s">
        <v>2</v>
      </c>
      <c r="AS177" s="2"/>
      <c r="AT177" s="2">
        <v>1037.4828014906072</v>
      </c>
    </row>
    <row r="178" spans="44:46">
      <c r="AR178" s="49" t="s">
        <v>3</v>
      </c>
      <c r="AS178" s="2"/>
      <c r="AT178" s="2">
        <v>0</v>
      </c>
    </row>
    <row r="179" spans="44:46">
      <c r="AR179" s="49" t="s">
        <v>1</v>
      </c>
      <c r="AS179" s="2"/>
      <c r="AT179" s="2">
        <v>1560.36</v>
      </c>
    </row>
    <row r="180" spans="44:46">
      <c r="AR180" s="47">
        <v>45992</v>
      </c>
      <c r="AS180" s="2"/>
      <c r="AT180" s="2">
        <v>4492.2404470000001</v>
      </c>
    </row>
    <row r="181" spans="44:46">
      <c r="AR181" s="49" t="s">
        <v>0</v>
      </c>
      <c r="AS181" s="2"/>
      <c r="AT181" s="2">
        <v>251.44560000000001</v>
      </c>
    </row>
    <row r="182" spans="44:46">
      <c r="AR182" s="49" t="s">
        <v>2</v>
      </c>
      <c r="AS182" s="2"/>
      <c r="AT182" s="2">
        <v>287.77384700000005</v>
      </c>
    </row>
    <row r="183" spans="44:46">
      <c r="AR183" s="49" t="s">
        <v>3</v>
      </c>
      <c r="AS183" s="2"/>
      <c r="AT183" s="2">
        <v>0</v>
      </c>
    </row>
    <row r="184" spans="44:46">
      <c r="AR184" s="49" t="s">
        <v>1</v>
      </c>
      <c r="AS184" s="2"/>
      <c r="AT184" s="2">
        <v>3953.0210000000002</v>
      </c>
    </row>
    <row r="185" spans="44:46">
      <c r="AR185" s="47" t="s">
        <v>47</v>
      </c>
      <c r="AS185" s="2">
        <v>52675</v>
      </c>
      <c r="AT185" s="2">
        <v>68099.927290189269</v>
      </c>
    </row>
  </sheetData>
  <mergeCells count="3">
    <mergeCell ref="V3:W3"/>
    <mergeCell ref="AG3:AH3"/>
    <mergeCell ref="V5:W5"/>
  </mergeCells>
  <phoneticPr fontId="2" type="noConversion"/>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sheetPr codeName="Sheet4"/>
  <dimension ref="J3:L3"/>
  <sheetViews>
    <sheetView showGridLines="0" topLeftCell="A4" zoomScale="70" zoomScaleNormal="70" workbookViewId="0">
      <selection activeCell="W19" sqref="W19"/>
    </sheetView>
  </sheetViews>
  <sheetFormatPr defaultColWidth="8.625" defaultRowHeight="14.25"/>
  <cols>
    <col min="1" max="16384" width="8.625" style="17"/>
  </cols>
  <sheetData>
    <row r="3" spans="10:12">
      <c r="J3" s="17" t="b">
        <v>1</v>
      </c>
      <c r="K3" s="17" t="b">
        <v>1</v>
      </c>
      <c r="L3" s="17" t="b">
        <v>0</v>
      </c>
    </row>
  </sheetData>
  <pageMargins left="0.7" right="0.7" top="0.75" bottom="0.75" header="0.3" footer="0.3"/>
  <pageSetup paperSize="9" orientation="portrait" r:id="rId1"/>
  <drawing r:id="rId2"/>
  <legacyDrawing r:id="rId3"/>
  <extLst xmlns:x14="http://schemas.microsoft.com/office/spreadsheetml/2009/9/main">
    <ext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dimension ref="B2:E15"/>
  <sheetViews>
    <sheetView workbookViewId="0">
      <selection activeCell="H8" sqref="H8"/>
    </sheetView>
  </sheetViews>
  <sheetFormatPr defaultRowHeight="14.25"/>
  <cols>
    <col min="3" max="3" width="9.125" bestFit="1" customWidth="1"/>
    <col min="4" max="4" width="10.125" bestFit="1" customWidth="1"/>
    <col min="5" max="5" width="9.125" bestFit="1" customWidth="1"/>
  </cols>
  <sheetData>
    <row r="2" spans="2:5">
      <c r="C2" s="55"/>
    </row>
    <row r="3" spans="2:5">
      <c r="B3" t="s">
        <v>70</v>
      </c>
      <c r="C3" s="56">
        <v>2.345686751833385</v>
      </c>
      <c r="D3" s="56">
        <v>32.778432313420005</v>
      </c>
      <c r="E3" s="56">
        <v>0.94467503590577007</v>
      </c>
    </row>
    <row r="4" spans="2:5">
      <c r="B4" t="s">
        <v>71</v>
      </c>
      <c r="C4" s="56">
        <v>1.536721323990345</v>
      </c>
      <c r="D4" s="56">
        <v>23.936419195309998</v>
      </c>
      <c r="E4" s="56">
        <v>1.0741349535992144</v>
      </c>
    </row>
    <row r="5" spans="2:5">
      <c r="B5" t="s">
        <v>72</v>
      </c>
      <c r="C5" s="56">
        <v>3.4923252017310675</v>
      </c>
      <c r="D5" s="56">
        <v>51.745319683360592</v>
      </c>
      <c r="E5" s="56">
        <v>1.7934399414096696</v>
      </c>
    </row>
    <row r="6" spans="2:5">
      <c r="B6" t="s">
        <v>69</v>
      </c>
      <c r="C6" s="56">
        <v>2.6696391283096683</v>
      </c>
      <c r="D6" s="56">
        <v>27.526156647568921</v>
      </c>
      <c r="E6" s="56">
        <v>1.0912120489594592</v>
      </c>
    </row>
    <row r="7" spans="2:5">
      <c r="B7" t="s">
        <v>73</v>
      </c>
      <c r="C7" s="56">
        <v>3.6443419120317579</v>
      </c>
      <c r="D7" s="56">
        <v>49.800323064399997</v>
      </c>
      <c r="E7" s="56">
        <v>1.3710735035699999</v>
      </c>
    </row>
    <row r="8" spans="2:5">
      <c r="B8" t="s">
        <v>74</v>
      </c>
      <c r="C8" s="56">
        <v>2.4931995797116073</v>
      </c>
      <c r="D8" s="56">
        <v>38.995100118980012</v>
      </c>
      <c r="E8" s="56">
        <v>1.7073874585689659</v>
      </c>
    </row>
    <row r="10" spans="2:5">
      <c r="B10" t="s">
        <v>70</v>
      </c>
      <c r="C10" s="56">
        <v>1.2579882828430293</v>
      </c>
      <c r="D10" s="56">
        <v>28.108100026801932</v>
      </c>
      <c r="E10" s="56">
        <v>1.505244891528871</v>
      </c>
    </row>
    <row r="11" spans="2:5">
      <c r="B11" t="s">
        <v>71</v>
      </c>
      <c r="C11" s="56">
        <v>1.2466511607878681</v>
      </c>
      <c r="D11" s="56">
        <v>26.539224724842956</v>
      </c>
      <c r="E11" s="56">
        <v>1.3930711203300796</v>
      </c>
    </row>
    <row r="12" spans="2:5">
      <c r="B12" t="s">
        <v>72</v>
      </c>
      <c r="C12" s="56">
        <v>1.345186410785121</v>
      </c>
      <c r="D12" s="56">
        <v>28.571676109804951</v>
      </c>
      <c r="E12" s="56">
        <v>1.4737724973833966</v>
      </c>
    </row>
    <row r="13" spans="2:5">
      <c r="B13" t="s">
        <v>69</v>
      </c>
      <c r="C13" s="56">
        <v>2.2042123406950234</v>
      </c>
      <c r="D13" s="56">
        <v>35.521716758896929</v>
      </c>
      <c r="E13" s="56">
        <v>2.8424553610998715</v>
      </c>
    </row>
    <row r="14" spans="2:5">
      <c r="B14" t="s">
        <v>73</v>
      </c>
      <c r="C14" s="56">
        <v>1.1220400484314721</v>
      </c>
      <c r="D14" s="56">
        <v>24.851337462345725</v>
      </c>
      <c r="E14" s="56">
        <v>1.5439252024984333</v>
      </c>
    </row>
    <row r="15" spans="2:5">
      <c r="B15" t="s">
        <v>74</v>
      </c>
      <c r="C15" s="56">
        <v>1.8112051302130094</v>
      </c>
      <c r="D15" s="56">
        <v>29.113650155461769</v>
      </c>
      <c r="E15" s="56">
        <v>2.6612636184357119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Master Data</vt:lpstr>
      <vt:lpstr>Input Data</vt:lpstr>
      <vt:lpstr>Working Sheet</vt:lpstr>
      <vt:lpstr>Dashboard Final</vt: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Andri Setyawan</dc:creator>
  <cp:lastModifiedBy>andri.setyawan</cp:lastModifiedBy>
  <dcterms:created xsi:type="dcterms:W3CDTF">2024-02-21T02:36:36Z</dcterms:created>
  <dcterms:modified xsi:type="dcterms:W3CDTF">2026-02-27T07:53:05Z</dcterms:modified>
</cp:coreProperties>
</file>